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60f70374de44e62" /></Relationships>
</file>

<file path=xl/workbook.xml><?xml version="1.0" encoding="utf-8"?>
<x:workbook xmlns:x="http://schemas.openxmlformats.org/spreadsheetml/2006/main">
  <x:sheets>
    <x:sheet xmlns:r="http://schemas.openxmlformats.org/officeDocument/2006/relationships" name="تحلیل کامل معامله" sheetId="1" r:id="R26e803ef10c54c1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164" formatCode="#,##0.00;[Red](#,##0.00);0.00"/>
    <x:numFmt numFmtId="165" formatCode="0.000%;[Red](0.000%);0%"/>
    <x:numFmt numFmtId="166" formatCode="0.00000000"/>
    <x:numFmt numFmtId="167" formatCode="0.000E+00"/>
  </x:numFmts>
  <x:fonts count="6">
    <x:font>
      <x:sz val="12"/>
      <x:name val="Vazirmatn"/>
    </x:font>
    <x:font>
      <x:b/>
      <x:sz val="16"/>
      <x:color rgb="FFFFFFFF"/>
      <x:name val="Vazirmatn"/>
    </x:font>
    <x:font>
      <x:b/>
      <x:sz val="12"/>
      <x:color rgb="FFFFFFFF"/>
      <x:name val="Vazirmatn"/>
    </x:font>
    <x:font>
      <x:sz val="12"/>
      <x:color rgb="FF0000FF"/>
      <x:name val="Vazirmatn"/>
    </x:font>
    <x:font>
      <x:b/>
      <x:sz val="12"/>
      <x:color rgb="FF0B3154"/>
      <x:name val="Vazirmatn"/>
    </x:font>
    <x:font>
      <x:sz val="12"/>
      <x:color rgb="FF008000"/>
      <x:name val="Vazirmatn"/>
    </x:font>
  </x:fonts>
  <x:fills count="7">
    <x:fill>
      <x:patternFill patternType="none"/>
    </x:fill>
    <x:fill>
      <x:patternFill patternType="gray125"/>
    </x:fill>
    <x:fill>
      <x:patternFill patternType="solid">
        <x:fgColor rgb="FF0B3154"/>
      </x:patternFill>
    </x:fill>
    <x:fill>
      <x:patternFill patternType="solid">
        <x:fgColor rgb="FF087F82"/>
      </x:patternFill>
    </x:fill>
    <x:fill>
      <x:patternFill patternType="solid">
        <x:fgColor rgb="FFFFF2CC"/>
      </x:patternFill>
    </x:fill>
    <x:fill>
      <x:patternFill patternType="solid">
        <x:fgColor rgb="FFEAF3F8"/>
      </x:patternFill>
    </x:fill>
    <x:fill>
      <x:patternFill patternType="solid">
        <x:fgColor rgb="FFE2F0D9"/>
      </x:patternFill>
    </x:fill>
  </x:fills>
  <x:borders count="2">
    <x:border/>
    <x:border>
      <x:left style="thin">
        <x:color rgb="FFD8E2EB"/>
      </x:left>
      <x:right style="thin">
        <x:color rgb="FFD8E2EB"/>
      </x:right>
      <x:top style="thin">
        <x:color rgb="FFD8E2EB"/>
      </x:top>
      <x:bottom style="thin">
        <x:color rgb="FFD8E2EB"/>
      </x:bottom>
    </x:border>
  </x:borders>
  <x:cellStyleXfs count="1">
    <x:xf numFmtId="0" fontId="0" fillId="0" borderId="0"/>
  </x:cellStyleXfs>
  <x:cellXfs count="13">
    <x:xf numFmtId="0" fontId="0" fillId="0" borderId="0" xfId="0" applyAlignment="1">
      <x:alignment horizontal="right" vertical="center" wrapText="1"/>
    </x:xf>
    <x:xf numFmtId="0" fontId="1" fillId="2" borderId="0" xfId="0" applyFont="1" applyFill="1" applyAlignment="1">
      <x:alignment horizontal="right" vertical="center" wrapText="1"/>
    </x:xf>
    <x:xf numFmtId="0" fontId="2" fillId="3" borderId="0" xfId="0" applyFont="1" applyFill="1" applyAlignment="1">
      <x:alignment horizontal="right" vertical="center" wrapText="1"/>
    </x:xf>
    <x:xf numFmtId="0" fontId="3" fillId="4" borderId="1" xfId="0" applyAlignment="1">
      <x:alignment horizontal="right" vertical="center" wrapText="1"/>
    </x:xf>
    <x:xf numFmtId="164" fontId="0" fillId="0" borderId="1" xfId="0" applyNumberFormat="1" applyAlignment="1">
      <x:alignment horizontal="right" vertical="center" wrapText="1"/>
    </x:xf>
    <x:xf numFmtId="165" fontId="0" fillId="0" borderId="1" xfId="0" applyNumberFormat="1" applyAlignment="1">
      <x:alignment horizontal="right" vertical="center" wrapText="1"/>
    </x:xf>
    <x:xf numFmtId="0" fontId="2" fillId="2" borderId="1" xfId="0" applyAlignment="1">
      <x:alignment horizontal="center" vertical="center" wrapText="1"/>
    </x:xf>
    <x:xf numFmtId="164" fontId="4" fillId="5" borderId="1" xfId="0" applyNumberFormat="1" applyAlignment="1">
      <x:alignment horizontal="right" vertical="center" wrapText="1"/>
    </x:xf>
    <x:xf numFmtId="0" fontId="5" fillId="0" borderId="1" xfId="0" applyAlignment="1">
      <x:alignment horizontal="right" vertical="center" wrapText="1"/>
    </x:xf>
    <x:xf numFmtId="0" fontId="4" fillId="6" borderId="1" xfId="0" applyAlignment="1">
      <x:alignment horizontal="center" vertical="center"/>
    </x:xf>
    <x:xf numFmtId="165" fontId="3" fillId="4" borderId="1" xfId="0" applyNumberFormat="1" applyAlignment="1">
      <x:alignment horizontal="right" vertical="center"/>
    </x:xf>
    <x:xf numFmtId="166" fontId="0" fillId="0" borderId="1" xfId="0" applyNumberFormat="1"/>
    <x:xf numFmtId="167" fontId="0" fillId="0" borderId="1" xfId="0" applyNumberFormat="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f0e9fcfbf954b79" /><Relationship Type="http://schemas.openxmlformats.org/officeDocument/2006/relationships/theme" Target="/xl/theme/theme1.xml" Id="R4b8764c79eb24695" /><Relationship Type="http://schemas.openxmlformats.org/officeDocument/2006/relationships/sharedStrings" Target="/xl/sharedStrings.xml" Id="Rcb1085d81eaa46ef" /><Relationship Type="http://schemas.openxmlformats.org/officeDocument/2006/relationships/worksheet" Target="/xl/worksheets/sheet1.xml" Id="R26e803ef10c54c1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4" topLeftCell="A5" activePane="bottomLeft" state="frozen"/>
    </x:sheetView>
  </x:sheetViews>
  <x:sheetFormatPr defaultRowHeight="20"/>
  <x:cols>
    <x:col min="1" max="1" width="14" customWidth="1"/>
    <x:col min="2" max="2" width="38" customWidth="1"/>
    <x:col min="3" max="3" width="24" customWidth="1"/>
    <x:col min="4" max="4" width="23" customWidth="1"/>
    <x:col min="5" max="5" width="36" customWidth="1"/>
    <x:col min="6" max="6" width="30" customWidth="1"/>
    <x:col min="7" max="7" width="24" customWidth="1"/>
    <x:col min="8" max="8" width="24" customWidth="1"/>
    <x:col min="9" max="9" width="25" customWidth="1"/>
    <x:col min="10" max="10" width="15" customWidth="1"/>
  </x:cols>
  <x:sheetData>
    <x:row r="1" ht="30" customHeight="1">
      <x:c r="A1" s="1" t="inlineStr">
        <x:is>
          <x:t xml:space="preserve">گروه سرمایه‌گذاری آتیه فولاد نقش جهان · ممیزی معامله · نسخه ۱۱٫۳</x:t>
        </x:is>
      </x:c>
    </x:row>
    <x:row r="2" ht="38" customHeight="1">
      <x:c r="A2" t="inlineStr">
        <x:is>
          <x:t xml:space="preserve">همه جزئیات در همین شیت است. ستون C ورودی یا فرمول؛ ستون E متن همان فرمول؛ ستون‌های F تا J توضیح مبنا. مبالغ تومان و مقدار کالا تن است.</x:t>
        </x:is>
      </x:c>
    </x:row>
    <x:row r="3" ht="38" customHeight="1">
      <x:c r="A3" t="inlineStr">
        <x:is>
          <x:t xml:space="preserve">این فایل، ممیزی رویدادمحور معامله محاسبه‌شده است. برای تغییر نوع ابزار، تعداد اقساط، تاریخ‌ها، صفر به غیرصفر شدن یک رویداد یا فرض VAT، دوباره از نرم‌افزار خروجی بگیرید.</x:t>
        </x:is>
      </x:c>
    </x:row>
    <x:row r="4" ht="38" customHeight="1">
      <x:c r="A4" t="inlineStr">
        <x:is>
          <x:t xml:space="preserve">ورودی‌های آبی از قرارداد؛ سلول‌های محاسباتی فرمول‌دار. ستون «خروجی موتور» در کنترل نهایی، مرجع ثابت لحظه خروجی است؛ پس از ویرایش ورودی‌ها اختلاف با آن طبیعی است.</x:t>
        </x:is>
      </x:c>
    </x:row>
    <x:row r="5" ht="30" customHeight="1">
      <x:c r="A5" s="1" t="inlineStr">
        <x:is>
          <x:t xml:space="preserve">A · ورودی‌های اصلی و مبانی واحد</x:t>
        </x:is>
      </x:c>
    </x:row>
    <x:row r="6" ht="32" customHeight="1">
      <x:c r="A6" t="inlineStr">
        <x:is>
          <x:t xml:space="preserve">۱</x:t>
        </x:is>
      </x:c>
      <x:c r="B6" t="inlineStr">
        <x:is>
          <x:t xml:space="preserve">کالا</x:t>
        </x:is>
      </x:c>
      <x:c r="C6" s="3" t="inlineStr">
        <x:is>
          <x:t xml:space="preserve">شمش؛ خرید چکی و فروش نقدی با محدودیت ظرفیت</x:t>
        </x:is>
      </x:c>
      <x:c r="D6" t="inlineStr">
        <x:is>
          <x:t xml:space="preserve"/>
        </x:is>
      </x:c>
      <x:c r="E6" t="inlineStr">
        <x:is>
          <x:t xml:space="preserve"/>
        </x:is>
      </x:c>
      <x:c r="F6" t="inlineStr">
        <x:is>
          <x:t xml:space="preserve"/>
        </x:is>
      </x:c>
    </x:row>
    <x:row r="7" ht="32" customHeight="1">
      <x:c r="A7" t="inlineStr">
        <x:is>
          <x:t xml:space="preserve">۲</x:t>
        </x:is>
      </x:c>
      <x:c r="B7" t="inlineStr">
        <x:is>
          <x:t xml:space="preserve">روش نقدینگی</x:t>
        </x:is>
      </x:c>
      <x:c r="C7" s="3" t="inlineStr">
        <x:is>
          <x:t xml:space="preserve">خروج قبل از ورود</x:t>
        </x:is>
      </x:c>
      <x:c r="D7" t="inlineStr">
        <x:is>
          <x:t xml:space="preserve"/>
        </x:is>
      </x:c>
      <x:c r="E7" t="inlineStr">
        <x:is>
          <x:t xml:space="preserve"/>
        </x:is>
      </x:c>
      <x:c r="F7" t="inlineStr">
        <x:is>
          <x:t xml:space="preserve"/>
        </x:is>
      </x:c>
    </x:row>
    <x:row r="8" ht="32" customHeight="1">
      <x:c r="A8" t="inlineStr">
        <x:is>
          <x:t xml:space="preserve">۳</x:t>
        </x:is>
      </x:c>
      <x:c r="B8" t="inlineStr">
        <x:is>
          <x:t xml:space="preserve">زمان‌بندی بازیافت</x:t>
        </x:is>
      </x:c>
      <x:c r="C8" s="3" t="inlineStr">
        <x:is>
          <x:t xml:space="preserve">برنامه‌ریزی‌شده</x:t>
        </x:is>
      </x:c>
      <x:c r="D8" t="inlineStr">
        <x:is>
          <x:t xml:space="preserve"/>
        </x:is>
      </x:c>
      <x:c r="E8" t="inlineStr">
        <x:is>
          <x:t xml:space="preserve"/>
        </x:is>
      </x:c>
      <x:c r="F8" t="inlineStr">
        <x:is>
          <x:t xml:space="preserve"/>
        </x:is>
      </x:c>
    </x:row>
    <x:row r="9" ht="32" customHeight="1">
      <x:c r="A9" t="inlineStr">
        <x:is>
          <x:t xml:space="preserve">۴</x:t>
        </x:is>
      </x:c>
      <x:c r="B9" t="inlineStr">
        <x:is>
          <x:t xml:space="preserve">نوع معامله</x:t>
        </x:is>
      </x:c>
      <x:c r="C9" s="3" t="inlineStr">
        <x:is>
          <x:t xml:space="preserve">داخلی</x:t>
        </x:is>
      </x:c>
      <x:c r="D9" t="inlineStr">
        <x:is>
          <x:t xml:space="preserve"/>
        </x:is>
      </x:c>
      <x:c r="E9" t="inlineStr">
        <x:is>
          <x:t xml:space="preserve"/>
        </x:is>
      </x:c>
      <x:c r="F9" t="inlineStr">
        <x:is>
          <x:t xml:space="preserve"/>
        </x:is>
      </x:c>
    </x:row>
    <x:row r="10" ht="32" customHeight="1">
      <x:c r="A10" t="inlineStr">
        <x:is>
          <x:t xml:space="preserve">۵</x:t>
        </x:is>
      </x:c>
      <x:c r="B10" t="inlineStr">
        <x:is>
          <x:t xml:space="preserve">مقدار خرید</x:t>
        </x:is>
      </x:c>
      <x:c r="C10" s="4" t="n">
        <x:f>C24</x:f>
        <x:v>1000</x:v>
      </x:c>
      <x:c r="D10" t="inlineStr">
        <x:is>
          <x:t xml:space="preserve">تن</x:t>
        </x:is>
      </x:c>
      <x:c r="E10" t="inlineStr">
        <x:is>
          <x:t xml:space="preserve">=C24</x:t>
        </x:is>
      </x:c>
      <x:c r="F10" t="inlineStr">
        <x:is>
          <x:t xml:space="preserve"/>
        </x:is>
      </x:c>
    </x:row>
    <x:row r="11" ht="32" customHeight="1">
      <x:c r="A11" t="inlineStr">
        <x:is>
          <x:t xml:space="preserve">۶</x:t>
        </x:is>
      </x:c>
      <x:c r="B11" t="inlineStr">
        <x:is>
          <x:t xml:space="preserve">قیمت خرید تبدیل‌شده</x:t>
        </x:is>
      </x:c>
      <x:c r="C11" s="4" t="n">
        <x:f>C25*C13</x:f>
        <x:v>35000000</x:v>
      </x:c>
      <x:c r="D11" t="inlineStr">
        <x:is>
          <x:t xml:space="preserve">تومان / تن</x:t>
        </x:is>
      </x:c>
      <x:c r="E11" t="inlineStr">
        <x:is>
          <x:t xml:space="preserve">=C25*C13</x:t>
        </x:is>
      </x:c>
      <x:c r="F11" t="inlineStr">
        <x:is>
          <x:t xml:space="preserve"/>
        </x:is>
      </x:c>
    </x:row>
    <x:row r="12" ht="32" customHeight="1">
      <x:c r="A12" t="inlineStr">
        <x:is>
          <x:t xml:space="preserve">۷</x:t>
        </x:is>
      </x:c>
      <x:c r="B12" t="inlineStr">
        <x:is>
          <x:t xml:space="preserve">قیمت فروش تبدیل‌شده</x:t>
        </x:is>
      </x:c>
      <x:c r="C12" s="4" t="n">
        <x:f>C26*C14</x:f>
        <x:v>38000000</x:v>
      </x:c>
      <x:c r="D12" t="inlineStr">
        <x:is>
          <x:t xml:space="preserve">تومان / تن</x:t>
        </x:is>
      </x:c>
      <x:c r="E12" t="inlineStr">
        <x:is>
          <x:t xml:space="preserve">=C26*C14</x:t>
        </x:is>
      </x:c>
      <x:c r="F12" t="inlineStr">
        <x:is>
          <x:t xml:space="preserve"/>
        </x:is>
      </x:c>
    </x:row>
    <x:row r="13" ht="32" customHeight="1">
      <x:c r="A13" t="inlineStr">
        <x:is>
          <x:t xml:space="preserve">۸</x:t>
        </x:is>
      </x:c>
      <x:c r="B13" t="inlineStr">
        <x:is>
          <x:t xml:space="preserve">نرخ تبدیل ارز خرید</x:t>
        </x:is>
      </x:c>
      <x:c r="C13" s="3">
        <x:v>1</x:v>
      </x:c>
      <x:c r="D13" t="inlineStr">
        <x:is>
          <x:t xml:space="preserve">تومان / واحد ارز</x:t>
        </x:is>
      </x:c>
      <x:c r="E13" t="inlineStr">
        <x:is>
          <x:t xml:space="preserve"/>
        </x:is>
      </x:c>
      <x:c r="F13" t="inlineStr">
        <x:is>
          <x:t xml:space="preserve"/>
        </x:is>
      </x:c>
    </x:row>
    <x:row r="14" ht="32" customHeight="1">
      <x:c r="A14" t="inlineStr">
        <x:is>
          <x:t xml:space="preserve">۹</x:t>
        </x:is>
      </x:c>
      <x:c r="B14" t="inlineStr">
        <x:is>
          <x:t xml:space="preserve">نرخ تبدیل ارز فروش</x:t>
        </x:is>
      </x:c>
      <x:c r="C14" s="3">
        <x:v>1</x:v>
      </x:c>
      <x:c r="D14" t="inlineStr">
        <x:is>
          <x:t xml:space="preserve">تومان / واحد ارز</x:t>
        </x:is>
      </x:c>
      <x:c r="E14" t="inlineStr">
        <x:is>
          <x:t xml:space="preserve"/>
        </x:is>
      </x:c>
      <x:c r="F14" t="inlineStr">
        <x:is>
          <x:t xml:space="preserve"/>
        </x:is>
      </x:c>
    </x:row>
    <x:row r="15" ht="32" customHeight="1">
      <x:c r="A15" t="inlineStr">
        <x:is>
          <x:t xml:space="preserve">۱۰</x:t>
        </x:is>
      </x:c>
      <x:c r="B15" t="inlineStr">
        <x:is>
          <x:t xml:space="preserve">روز تحویل از شروع</x:t>
        </x:is>
      </x:c>
      <x:c r="C15" s="3">
        <x:v>30</x:v>
      </x:c>
      <x:c r="D15" t="inlineStr">
        <x:is>
          <x:t xml:space="preserve">روز</x:t>
        </x:is>
      </x:c>
      <x:c r="E15" t="inlineStr">
        <x:is>
          <x:t xml:space="preserve"/>
        </x:is>
      </x:c>
      <x:c r="F15" t="inlineStr">
        <x:is>
          <x:t xml:space="preserve"/>
        </x:is>
      </x:c>
    </x:row>
    <x:row r="16" ht="32" customHeight="1">
      <x:c r="A16" t="inlineStr">
        <x:is>
          <x:t xml:space="preserve">۱۱</x:t>
        </x:is>
      </x:c>
      <x:c r="B16" t="inlineStr">
        <x:is>
          <x:t xml:space="preserve">مبدأ زمانی تنزیل</x:t>
        </x:is>
      </x:c>
      <x:c r="C16" s="3">
        <x:v>0</x:v>
      </x:c>
      <x:c r="D16" t="inlineStr">
        <x:is>
          <x:t xml:space="preserve">روز</x:t>
        </x:is>
      </x:c>
      <x:c r="E16" t="inlineStr">
        <x:is>
          <x:t xml:space="preserve"/>
        </x:is>
      </x:c>
      <x:c r="F16" t="inlineStr">
        <x:is>
          <x:t xml:space="preserve"/>
        </x:is>
      </x:c>
    </x:row>
    <x:row r="17" ht="32" customHeight="1">
      <x:c r="A17" t="inlineStr">
        <x:is>
          <x:t xml:space="preserve">۱۲</x:t>
        </x:is>
      </x:c>
      <x:c r="B17" t="inlineStr">
        <x:is>
          <x:t xml:space="preserve">وزن هر عدد کالا</x:t>
        </x:is>
      </x:c>
      <x:c r="C17" s="3">
        <x:v>0</x:v>
      </x:c>
      <x:c r="D17" t="inlineStr">
        <x:is>
          <x:t xml:space="preserve">کیلوگرم</x:t>
        </x:is>
      </x:c>
      <x:c r="E17" t="inlineStr">
        <x:is>
          <x:t xml:space="preserve"/>
        </x:is>
      </x:c>
      <x:c r="F17" t="inlineStr">
        <x:is>
          <x:t xml:space="preserve"/>
        </x:is>
      </x:c>
    </x:row>
    <x:row r="18" ht="32" customHeight="1">
      <x:c r="A18" t="inlineStr">
        <x:is>
          <x:t xml:space="preserve">۱۳</x:t>
        </x:is>
      </x:c>
      <x:c r="B18" t="inlineStr">
        <x:is>
          <x:t xml:space="preserve">حمل ورودی</x:t>
        </x:is>
      </x:c>
      <x:c r="C18" s="3">
        <x:v>0</x:v>
      </x:c>
      <x:c r="D18" t="inlineStr">
        <x:is>
          <x:t xml:space="preserve">تومان / تن</x:t>
        </x:is>
      </x:c>
      <x:c r="E18" t="inlineStr">
        <x:is>
          <x:t xml:space="preserve"/>
        </x:is>
      </x:c>
      <x:c r="F18" t="inlineStr">
        <x:is>
          <x:t xml:space="preserve"/>
        </x:is>
      </x:c>
    </x:row>
    <x:row r="19" ht="32" customHeight="1">
      <x:c r="A19" t="inlineStr">
        <x:is>
          <x:t xml:space="preserve">۱۴</x:t>
        </x:is>
      </x:c>
      <x:c r="B19" t="inlineStr">
        <x:is>
          <x:t xml:space="preserve">انبارداری ماهانه</x:t>
        </x:is>
      </x:c>
      <x:c r="C19" s="3">
        <x:v>0</x:v>
      </x:c>
      <x:c r="D19" t="inlineStr">
        <x:is>
          <x:t xml:space="preserve">تومان / تن / ماه</x:t>
        </x:is>
      </x:c>
      <x:c r="E19" t="inlineStr">
        <x:is>
          <x:t xml:space="preserve"/>
        </x:is>
      </x:c>
      <x:c r="F19" t="inlineStr">
        <x:is>
          <x:t xml:space="preserve"/>
        </x:is>
      </x:c>
    </x:row>
    <x:row r="20" ht="32" customHeight="1">
      <x:c r="A20" t="inlineStr">
        <x:is>
          <x:t xml:space="preserve">۱۵</x:t>
        </x:is>
      </x:c>
      <x:c r="B20" t="inlineStr">
        <x:is>
          <x:t xml:space="preserve">حمل خروجی</x:t>
        </x:is>
      </x:c>
      <x:c r="C20" s="3">
        <x:v>0</x:v>
      </x:c>
      <x:c r="D20" t="inlineStr">
        <x:is>
          <x:t xml:space="preserve">تومان / تن</x:t>
        </x:is>
      </x:c>
      <x:c r="E20" t="inlineStr">
        <x:is>
          <x:t xml:space="preserve"/>
        </x:is>
      </x:c>
      <x:c r="F20" t="inlineStr">
        <x:is>
          <x:t xml:space="preserve"/>
        </x:is>
      </x:c>
    </x:row>
    <x:row r="21" ht="32" customHeight="1">
      <x:c r="A21" t="inlineStr">
        <x:is>
          <x:t xml:space="preserve">۱۶</x:t>
        </x:is>
      </x:c>
      <x:c r="B21" t="inlineStr">
        <x:is>
          <x:t xml:space="preserve">حمل خارجی</x:t>
        </x:is>
      </x:c>
      <x:c r="C21" s="3">
        <x:v>0</x:v>
      </x:c>
      <x:c r="D21" t="inlineStr">
        <x:is>
          <x:t xml:space="preserve">ارز / تن</x:t>
        </x:is>
      </x:c>
      <x:c r="E21" t="inlineStr">
        <x:is>
          <x:t xml:space="preserve"/>
        </x:is>
      </x:c>
      <x:c r="F21" t="inlineStr">
        <x:is>
          <x:t xml:space="preserve"/>
        </x:is>
      </x:c>
    </x:row>
    <x:row r="22" ht="32" customHeight="1">
      <x:c r="A22" t="inlineStr">
        <x:is>
          <x:t xml:space="preserve">۱۷</x:t>
        </x:is>
      </x:c>
      <x:c r="B22" t="inlineStr">
        <x:is>
          <x:t xml:space="preserve">روز تسویه VAT</x:t>
        </x:is>
      </x:c>
      <x:c r="C22" s="3">
        <x:v>30</x:v>
      </x:c>
      <x:c r="D22" t="inlineStr">
        <x:is>
          <x:t xml:space="preserve">روز</x:t>
        </x:is>
      </x:c>
      <x:c r="E22" t="inlineStr">
        <x:is>
          <x:t xml:space="preserve"/>
        </x:is>
      </x:c>
      <x:c r="F22" t="inlineStr">
        <x:is>
          <x:t xml:space="preserve"/>
        </x:is>
      </x:c>
    </x:row>
    <x:row r="23" ht="32" customHeight="1">
      <x:c r="A23" t="inlineStr">
        <x:is>
          <x:t xml:space="preserve">۱۸</x:t>
        </x:is>
      </x:c>
      <x:c r="B23" t="inlineStr">
        <x:is>
          <x:t xml:space="preserve">روز بازیافت VAT</x:t>
        </x:is>
      </x:c>
      <x:c r="C23" s="3">
        <x:v>200</x:v>
      </x:c>
      <x:c r="D23" t="inlineStr">
        <x:is>
          <x:t xml:space="preserve">روز</x:t>
        </x:is>
      </x:c>
      <x:c r="E23" t="inlineStr">
        <x:is>
          <x:t xml:space="preserve"/>
        </x:is>
      </x:c>
      <x:c r="F23" t="inlineStr">
        <x:is>
          <x:t xml:space="preserve"/>
        </x:is>
      </x:c>
    </x:row>
    <x:row r="24" ht="32" customHeight="1">
      <x:c r="A24" t="inlineStr">
        <x:is>
          <x:t xml:space="preserve">۱۹</x:t>
        </x:is>
      </x:c>
      <x:c r="B24" t="inlineStr">
        <x:is>
          <x:t xml:space="preserve">مقدار در واحد قرارداد</x:t>
        </x:is>
      </x:c>
      <x:c r="C24" s="3">
        <x:v>1000</x:v>
      </x:c>
      <x:c r="D24" t="inlineStr">
        <x:is>
          <x:t xml:space="preserve">تن</x:t>
        </x:is>
      </x:c>
      <x:c r="E24" t="inlineStr">
        <x:is>
          <x:t xml:space="preserve"/>
        </x:is>
      </x:c>
      <x:c r="F24" t="inlineStr">
        <x:is>
          <x:t xml:space="preserve"/>
        </x:is>
      </x:c>
    </x:row>
    <x:row r="25" ht="32" customHeight="1">
      <x:c r="A25" t="inlineStr">
        <x:is>
          <x:t xml:space="preserve">۲۰</x:t>
        </x:is>
      </x:c>
      <x:c r="B25" t="inlineStr">
        <x:is>
          <x:t xml:space="preserve">قیمت خرید در واحد قرارداد</x:t>
        </x:is>
      </x:c>
      <x:c r="C25" s="3">
        <x:v>35000000</x:v>
      </x:c>
      <x:c r="D25" t="inlineStr">
        <x:is>
          <x:t xml:space="preserve">تومان / تن</x:t>
        </x:is>
      </x:c>
      <x:c r="E25" t="inlineStr">
        <x:is>
          <x:t xml:space="preserve"/>
        </x:is>
      </x:c>
      <x:c r="F25" t="inlineStr">
        <x:is>
          <x:t xml:space="preserve">قیمت قرارداد پیش از تبدیل واحد و تفکیک VAT</x:t>
        </x:is>
      </x:c>
    </x:row>
    <x:row r="26" ht="32" customHeight="1">
      <x:c r="A26" t="inlineStr">
        <x:is>
          <x:t xml:space="preserve">۲۱</x:t>
        </x:is>
      </x:c>
      <x:c r="B26" t="inlineStr">
        <x:is>
          <x:t xml:space="preserve">قیمت فروش در واحد قرارداد</x:t>
        </x:is>
      </x:c>
      <x:c r="C26" s="3">
        <x:v>38000000</x:v>
      </x:c>
      <x:c r="D26" t="inlineStr">
        <x:is>
          <x:t xml:space="preserve">تومان / تن</x:t>
        </x:is>
      </x:c>
      <x:c r="E26" t="inlineStr">
        <x:is>
          <x:t xml:space="preserve"/>
        </x:is>
      </x:c>
      <x:c r="F26" t="inlineStr">
        <x:is>
          <x:t xml:space="preserve">قیمت قرارداد پیش از تبدیل واحد و تفکیک VAT</x:t>
        </x:is>
      </x:c>
    </x:row>
    <x:row r="27" ht="32" customHeight="1">
      <x:c r="A27" t="inlineStr">
        <x:is>
          <x:t xml:space="preserve">۲۲</x:t>
        </x:is>
      </x:c>
      <x:c r="B27" t="inlineStr">
        <x:is>
          <x:t xml:space="preserve">افت مقدار</x:t>
        </x:is>
      </x:c>
      <x:c r="C27" s="10">
        <x:v>0</x:v>
      </x:c>
      <x:c r="D27" t="inlineStr">
        <x:is>
          <x:t xml:space="preserve">نسبت (۱ = ۱۰۰٪)</x:t>
        </x:is>
      </x:c>
      <x:c r="E27" t="inlineStr">
        <x:is>
          <x:t xml:space="preserve"/>
        </x:is>
      </x:c>
      <x:c r="F27" t="inlineStr">
        <x:is>
          <x:t xml:space="preserve"/>
        </x:is>
      </x:c>
    </x:row>
    <x:row r="28" ht="32" customHeight="1">
      <x:c r="A28" t="inlineStr">
        <x:is>
          <x:t xml:space="preserve">۲۳</x:t>
        </x:is>
      </x:c>
      <x:c r="B28" t="inlineStr">
        <x:is>
          <x:t xml:space="preserve">پیش‌پرداخت خرید</x:t>
        </x:is>
      </x:c>
      <x:c r="C28" s="10">
        <x:v>0</x:v>
      </x:c>
      <x:c r="D28" t="inlineStr">
        <x:is>
          <x:t xml:space="preserve">نسبت (۱ = ۱۰۰٪)</x:t>
        </x:is>
      </x:c>
      <x:c r="E28" t="inlineStr">
        <x:is>
          <x:t xml:space="preserve"/>
        </x:is>
      </x:c>
      <x:c r="F28" t="inlineStr">
        <x:is>
          <x:t xml:space="preserve"/>
        </x:is>
      </x:c>
    </x:row>
    <x:row r="29" ht="32" customHeight="1">
      <x:c r="A29" t="inlineStr">
        <x:is>
          <x:t xml:space="preserve">۲۴</x:t>
        </x:is>
      </x:c>
      <x:c r="B29" t="inlineStr">
        <x:is>
          <x:t xml:space="preserve">پیش‌دریافت فروش</x:t>
        </x:is>
      </x:c>
      <x:c r="C29" s="10">
        <x:v>0</x:v>
      </x:c>
      <x:c r="D29" t="inlineStr">
        <x:is>
          <x:t xml:space="preserve">نسبت (۱ = ۱۰۰٪)</x:t>
        </x:is>
      </x:c>
      <x:c r="E29" t="inlineStr">
        <x:is>
          <x:t xml:space="preserve"/>
        </x:is>
      </x:c>
      <x:c r="F29" t="inlineStr">
        <x:is>
          <x:t xml:space="preserve"/>
        </x:is>
      </x:c>
    </x:row>
    <x:row r="30" ht="32" customHeight="1">
      <x:c r="A30" t="inlineStr">
        <x:is>
          <x:t xml:space="preserve">۲۵</x:t>
        </x:is>
      </x:c>
      <x:c r="B30" t="inlineStr">
        <x:is>
          <x:t xml:space="preserve">VAT خرید</x:t>
        </x:is>
      </x:c>
      <x:c r="C30" s="10">
        <x:v>0</x:v>
      </x:c>
      <x:c r="D30" t="inlineStr">
        <x:is>
          <x:t xml:space="preserve">نسبت (۱ = ۱۰۰٪)</x:t>
        </x:is>
      </x:c>
      <x:c r="E30" t="inlineStr">
        <x:is>
          <x:t xml:space="preserve"/>
        </x:is>
      </x:c>
      <x:c r="F30" t="inlineStr">
        <x:is>
          <x:t xml:space="preserve"/>
        </x:is>
      </x:c>
    </x:row>
    <x:row r="31" ht="32" customHeight="1">
      <x:c r="A31" t="inlineStr">
        <x:is>
          <x:t xml:space="preserve">۲۶</x:t>
        </x:is>
      </x:c>
      <x:c r="B31" t="inlineStr">
        <x:is>
          <x:t xml:space="preserve">VAT فروش</x:t>
        </x:is>
      </x:c>
      <x:c r="C31" s="10">
        <x:v>0</x:v>
      </x:c>
      <x:c r="D31" t="inlineStr">
        <x:is>
          <x:t xml:space="preserve">نسبت (۱ = ۱۰۰٪)</x:t>
        </x:is>
      </x:c>
      <x:c r="E31" t="inlineStr">
        <x:is>
          <x:t xml:space="preserve"/>
        </x:is>
      </x:c>
      <x:c r="F31" t="inlineStr">
        <x:is>
          <x:t xml:space="preserve"/>
        </x:is>
      </x:c>
    </x:row>
    <x:row r="32" ht="32" customHeight="1">
      <x:c r="A32" t="inlineStr">
        <x:is>
          <x:t xml:space="preserve">۲۷</x:t>
        </x:is>
      </x:c>
      <x:c r="B32" t="inlineStr">
        <x:is>
          <x:t xml:space="preserve">VAT خدمات</x:t>
        </x:is>
      </x:c>
      <x:c r="C32" s="10">
        <x:v>0</x:v>
      </x:c>
      <x:c r="D32" t="inlineStr">
        <x:is>
          <x:t xml:space="preserve">نسبت (۱ = ۱۰۰٪)</x:t>
        </x:is>
      </x:c>
      <x:c r="E32" t="inlineStr">
        <x:is>
          <x:t xml:space="preserve"/>
        </x:is>
      </x:c>
      <x:c r="F32" t="inlineStr">
        <x:is>
          <x:t xml:space="preserve"/>
        </x:is>
      </x:c>
    </x:row>
    <x:row r="33" ht="32" customHeight="1">
      <x:c r="A33" t="inlineStr">
        <x:is>
          <x:t xml:space="preserve">۲۸</x:t>
        </x:is>
      </x:c>
      <x:c r="B33" t="inlineStr">
        <x:is>
          <x:t xml:space="preserve">نرخ تنزیل سالانه</x:t>
        </x:is>
      </x:c>
      <x:c r="C33" s="10">
        <x:v>0.35</x:v>
      </x:c>
      <x:c r="D33" t="inlineStr">
        <x:is>
          <x:t xml:space="preserve">نسبت (۱ = ۱۰۰٪)</x:t>
        </x:is>
      </x:c>
      <x:c r="E33" t="inlineStr">
        <x:is>
          <x:t xml:space="preserve"/>
        </x:is>
      </x:c>
      <x:c r="F33" t="inlineStr">
        <x:is>
          <x:t xml:space="preserve"/>
        </x:is>
      </x:c>
    </x:row>
    <x:row r="34" ht="32" customHeight="1">
      <x:c r="A34" t="inlineStr">
        <x:is>
          <x:t xml:space="preserve">۲۹</x:t>
        </x:is>
      </x:c>
      <x:c r="B34" t="inlineStr">
        <x:is>
          <x:t xml:space="preserve">نرخ عدم وصول مورد انتظار</x:t>
        </x:is>
      </x:c>
      <x:c r="C34" s="10">
        <x:v>0</x:v>
      </x:c>
      <x:c r="D34" t="inlineStr">
        <x:is>
          <x:t xml:space="preserve">نسبت (۱ = ۱۰۰٪)</x:t>
        </x:is>
      </x:c>
      <x:c r="E34" t="inlineStr">
        <x:is>
          <x:t xml:space="preserve"/>
        </x:is>
      </x:c>
      <x:c r="F34" t="inlineStr">
        <x:is>
          <x:t xml:space="preserve"/>
        </x:is>
      </x:c>
    </x:row>
    <x:row r="35" ht="32" customHeight="1">
      <x:c r="A35" t="inlineStr">
        <x:is>
          <x:t xml:space="preserve">۳۰</x:t>
        </x:is>
      </x:c>
      <x:c r="B35" t="inlineStr">
        <x:is>
          <x:t xml:space="preserve">نرخ بیمه</x:t>
        </x:is>
      </x:c>
      <x:c r="C35" s="10">
        <x:v>0</x:v>
      </x:c>
      <x:c r="D35" t="inlineStr">
        <x:is>
          <x:t xml:space="preserve">نسبت (۱ = ۱۰۰٪)</x:t>
        </x:is>
      </x:c>
      <x:c r="E35" t="inlineStr">
        <x:is>
          <x:t xml:space="preserve"/>
        </x:is>
      </x:c>
      <x:c r="F35" t="inlineStr">
        <x:is>
          <x:t xml:space="preserve"/>
        </x:is>
      </x:c>
    </x:row>
    <x:row r="36" ht="32" customHeight="1">
      <x:c r="A36" t="inlineStr">
        <x:is>
          <x:t xml:space="preserve">۳۱</x:t>
        </x:is>
      </x:c>
      <x:c r="B36" t="inlineStr">
        <x:is>
          <x:t xml:space="preserve">نرخ گمرک</x:t>
        </x:is>
      </x:c>
      <x:c r="C36" s="10">
        <x:v>0</x:v>
      </x:c>
      <x:c r="D36" t="inlineStr">
        <x:is>
          <x:t xml:space="preserve">نسبت (۱ = ۱۰۰٪)</x:t>
        </x:is>
      </x:c>
      <x:c r="E36" t="inlineStr">
        <x:is>
          <x:t xml:space="preserve"/>
        </x:is>
      </x:c>
      <x:c r="F36" t="inlineStr">
        <x:is>
          <x:t xml:space="preserve"/>
        </x:is>
      </x:c>
    </x:row>
    <x:row r="37" ht="32" customHeight="1">
      <x:c r="A37" t="inlineStr">
        <x:is>
          <x:t xml:space="preserve">۳۲</x:t>
        </x:is>
      </x:c>
      <x:c r="B37" t="inlineStr">
        <x:is>
          <x:t xml:space="preserve">نرخ انتقال ارز</x:t>
        </x:is>
      </x:c>
      <x:c r="C37" s="10">
        <x:v>0</x:v>
      </x:c>
      <x:c r="D37" t="inlineStr">
        <x:is>
          <x:t xml:space="preserve">نسبت (۱ = ۱۰۰٪)</x:t>
        </x:is>
      </x:c>
      <x:c r="E37" t="inlineStr">
        <x:is>
          <x:t xml:space="preserve"/>
        </x:is>
      </x:c>
      <x:c r="F37" t="inlineStr">
        <x:is>
          <x:t xml:space="preserve"/>
        </x:is>
      </x:c>
    </x:row>
    <x:row r="38" ht="32" customHeight="1">
      <x:c r="A38" t="inlineStr">
        <x:is>
          <x:t xml:space="preserve">۳۳</x:t>
        </x:is>
      </x:c>
      <x:c r="B38" t="inlineStr">
        <x:is>
          <x:t xml:space="preserve">روش بازیافت اعتبار VAT</x:t>
        </x:is>
      </x:c>
      <x:c r="C38" s="3" t="inlineStr">
        <x:is>
          <x:t xml:space="preserve">offset</x:t>
        </x:is>
      </x:c>
      <x:c r="D38" t="inlineStr">
        <x:is>
          <x:t xml:space="preserve"/>
        </x:is>
      </x:c>
      <x:c r="E38" t="inlineStr">
        <x:is>
          <x:t xml:space="preserve"/>
        </x:is>
      </x:c>
      <x:c r="F38" t="inlineStr">
        <x:is>
          <x:t xml:space="preserve"/>
        </x:is>
      </x:c>
    </x:row>
    <x:row r="39" ht="32" customHeight="1">
      <x:c r="A39" t="inlineStr">
        <x:is>
          <x:t xml:space="preserve">۳۴</x:t>
        </x:is>
      </x:c>
      <x:c r="B39" t="inlineStr">
        <x:is>
          <x:t xml:space="preserve">VAT مطالبات سوخت‌شده</x:t>
        </x:is>
      </x:c>
      <x:c r="C39" s="3" t="inlineStr">
        <x:is>
          <x:t xml:space="preserve">غیرقابل بازیافت</x:t>
        </x:is>
      </x:c>
      <x:c r="D39" t="inlineStr">
        <x:is>
          <x:t xml:space="preserve"/>
        </x:is>
      </x:c>
      <x:c r="E39" t="inlineStr">
        <x:is>
          <x:t xml:space="preserve"/>
        </x:is>
      </x:c>
      <x:c r="F39" t="inlineStr">
        <x:is>
          <x:t xml:space="preserve"/>
        </x:is>
      </x:c>
    </x:row>
    <x:row r="40" ht="32" customHeight="1">
      <x:c r="A40" t="inlineStr">
        <x:is>
          <x:t xml:space="preserve">۳۵</x:t>
        </x:is>
      </x:c>
      <x:c r="B40" t="inlineStr">
        <x:is>
          <x:t xml:space="preserve">مقدار قابل فروش</x:t>
        </x:is>
      </x:c>
      <x:c r="C40" s="4" t="n">
        <x:f>C10*(1-C27)</x:f>
        <x:v>1000</x:v>
      </x:c>
      <x:c r="D40" t="inlineStr">
        <x:is>
          <x:t xml:space="preserve">تن</x:t>
        </x:is>
      </x:c>
      <x:c r="E40" t="inlineStr">
        <x:is>
          <x:t xml:space="preserve">=C10*(1-C27)</x:t>
        </x:is>
      </x:c>
      <x:c r="F40" t="inlineStr">
        <x:is>
          <x:t xml:space="preserve"/>
        </x:is>
      </x:c>
    </x:row>
    <x:row r="41" ht="32" customHeight="1">
      <x:c r="A41" t="inlineStr">
        <x:is>
          <x:t xml:space="preserve">۳۶</x:t>
        </x:is>
      </x:c>
      <x:c r="B41" t="inlineStr">
        <x:is>
          <x:t xml:space="preserve">بهای خالص خرید</x:t>
        </x:is>
      </x:c>
      <x:c r="C41" s="4" t="n">
        <x:f>C10*C11</x:f>
        <x:v>35000000000</x:v>
      </x:c>
      <x:c r="D41" t="inlineStr">
        <x:is>
          <x:t xml:space="preserve">تومان</x:t>
        </x:is>
      </x:c>
      <x:c r="E41" t="inlineStr">
        <x:is>
          <x:t xml:space="preserve">=C10*C11</x:t>
        </x:is>
      </x:c>
      <x:c r="F41" t="inlineStr">
        <x:is>
          <x:t xml:space="preserve">VAT داخل قیمت، در صورت انتخاب کاربر، از بهای خالص جدا شده است.</x:t>
        </x:is>
      </x:c>
    </x:row>
    <x:row r="42" ht="32" customHeight="1">
      <x:c r="A42" t="inlineStr">
        <x:is>
          <x:t xml:space="preserve">۳۷</x:t>
        </x:is>
      </x:c>
      <x:c r="B42" t="inlineStr">
        <x:is>
          <x:t xml:space="preserve">فروش پایه پیش از اضافه‌قیمت</x:t>
        </x:is>
      </x:c>
      <x:c r="C42" s="4" t="n">
        <x:f>C40*C12</x:f>
        <x:v>38000000000</x:v>
      </x:c>
      <x:c r="D42" t="inlineStr">
        <x:is>
          <x:t xml:space="preserve">تومان</x:t>
        </x:is>
      </x:c>
      <x:c r="E42" t="inlineStr">
        <x:is>
          <x:t xml:space="preserve">=C40*C12</x:t>
        </x:is>
      </x:c>
      <x:c r="F42" t="inlineStr">
        <x:is>
          <x:t xml:space="preserve"/>
        </x:is>
      </x:c>
    </x:row>
    <x:row r="43" ht="32" customHeight="1">
      <x:c r="A43" t="inlineStr">
        <x:is>
          <x:t xml:space="preserve">۳۸</x:t>
        </x:is>
      </x:c>
      <x:c r="B43" t="inlineStr">
        <x:is>
          <x:t xml:space="preserve">پیش‌دریافت مشتری</x:t>
        </x:is>
      </x:c>
      <x:c r="C43" s="4" t="n">
        <x:f>C42*C29</x:f>
        <x:v>0</x:v>
      </x:c>
      <x:c r="D43" t="inlineStr">
        <x:is>
          <x:t xml:space="preserve">تومان</x:t>
        </x:is>
      </x:c>
      <x:c r="E43" t="inlineStr">
        <x:is>
          <x:t xml:space="preserve">=C42*C29</x:t>
        </x:is>
      </x:c>
      <x:c r="F43" t="inlineStr">
        <x:is>
          <x:t xml:space="preserve"/>
        </x:is>
      </x:c>
    </x:row>
    <x:row r="44" ht="32" customHeight="1">
      <x:c r="A44" t="inlineStr">
        <x:is>
          <x:t xml:space="preserve">۳۹</x:t>
        </x:is>
      </x:c>
      <x:c r="B44" t="inlineStr">
        <x:is>
          <x:t xml:space="preserve">مانده فروش قابل تخصیص</x:t>
        </x:is>
      </x:c>
      <x:c r="C44" s="4" t="n">
        <x:f>C42-C43</x:f>
        <x:v>38000000000</x:v>
      </x:c>
      <x:c r="D44" t="inlineStr">
        <x:is>
          <x:t xml:space="preserve">تومان</x:t>
        </x:is>
      </x:c>
      <x:c r="E44" t="inlineStr">
        <x:is>
          <x:t xml:space="preserve">=C42-C43</x:t>
        </x:is>
      </x:c>
      <x:c r="F44" t="inlineStr">
        <x:is>
          <x:t xml:space="preserve"/>
        </x:is>
      </x:c>
    </x:row>
    <x:row r="45" ht="32" customHeight="1">
      <x:c r="A45" t="inlineStr">
        <x:is>
          <x:t xml:space="preserve">۴۰</x:t>
        </x:is>
      </x:c>
      <x:c r="B45" t="inlineStr">
        <x:is>
          <x:t xml:space="preserve">VAT صورتحساب خرید داخلی</x:t>
        </x:is>
      </x:c>
      <x:c r="C45" s="4" t="n">
        <x:f>C41*C30</x:f>
        <x:v>0</x:v>
      </x:c>
      <x:c r="D45" t="inlineStr">
        <x:is>
          <x:t xml:space="preserve">تومان</x:t>
        </x:is>
      </x:c>
      <x:c r="E45" t="inlineStr">
        <x:is>
          <x:t xml:space="preserve">=C41*C30</x:t>
        </x:is>
      </x:c>
      <x:c r="F45" t="inlineStr">
        <x:is>
          <x:t xml:space="preserve"/>
        </x:is>
      </x:c>
    </x:row>
    <x:row r="46" ht="32" customHeight="1">
      <x:c r="A46" t="inlineStr">
        <x:is>
          <x:t xml:space="preserve">۴۱</x:t>
        </x:is>
      </x:c>
      <x:c r="B46" t="inlineStr">
        <x:is>
          <x:t xml:space="preserve">اصل پیش‌پرداخت خرید</x:t>
        </x:is>
      </x:c>
      <x:c r="C46" s="4" t="n">
        <x:f>C41*C28</x:f>
        <x:v>0</x:v>
      </x:c>
      <x:c r="D46" t="inlineStr">
        <x:is>
          <x:t xml:space="preserve">تومان</x:t>
        </x:is>
      </x:c>
      <x:c r="E46" t="inlineStr">
        <x:is>
          <x:t xml:space="preserve">=C41*C28</x:t>
        </x:is>
      </x:c>
      <x:c r="F46" t="inlineStr">
        <x:is>
          <x:t xml:space="preserve"/>
        </x:is>
      </x:c>
    </x:row>
    <x:row r="47" ht="32" customHeight="1">
      <x:c r="A47" t="inlineStr">
        <x:is>
          <x:t xml:space="preserve">۴۲</x:t>
        </x:is>
      </x:c>
      <x:c r="B47" t="inlineStr">
        <x:is>
          <x:t xml:space="preserve">VAT پیش‌پرداخت</x:t>
        </x:is>
      </x:c>
      <x:c r="C47" s="4" t="n">
        <x:f>C45*C28</x:f>
        <x:v>0</x:v>
      </x:c>
      <x:c r="D47" t="inlineStr">
        <x:is>
          <x:t xml:space="preserve">تومان</x:t>
        </x:is>
      </x:c>
      <x:c r="E47" t="inlineStr">
        <x:is>
          <x:t xml:space="preserve">=C45*C28</x:t>
        </x:is>
      </x:c>
      <x:c r="F47" t="inlineStr">
        <x:is>
          <x:t xml:space="preserve"/>
        </x:is>
      </x:c>
    </x:row>
    <x:row r="48" ht="32" customHeight="1">
      <x:c r="A48" t="inlineStr">
        <x:is>
          <x:t xml:space="preserve">۴۳</x:t>
        </x:is>
      </x:c>
      <x:c r="B48" t="inlineStr">
        <x:is>
          <x:t xml:space="preserve">مانده اصل خرید</x:t>
        </x:is>
      </x:c>
      <x:c r="C48" s="4" t="n">
        <x:f>C41-C46</x:f>
        <x:v>35000000000</x:v>
      </x:c>
      <x:c r="D48" t="inlineStr">
        <x:is>
          <x:t xml:space="preserve">تومان</x:t>
        </x:is>
      </x:c>
      <x:c r="E48" t="inlineStr">
        <x:is>
          <x:t xml:space="preserve">=C41-C46</x:t>
        </x:is>
      </x:c>
      <x:c r="F48" t="inlineStr">
        <x:is>
          <x:t xml:space="preserve"/>
        </x:is>
      </x:c>
    </x:row>
    <x:row r="49" ht="32" customHeight="1">
      <x:c r="A49" t="inlineStr">
        <x:is>
          <x:t xml:space="preserve">۴۴</x:t>
        </x:is>
      </x:c>
      <x:c r="B49" t="inlineStr">
        <x:is>
          <x:t xml:space="preserve">مانده VAT خرید</x:t>
        </x:is>
      </x:c>
      <x:c r="C49" s="4" t="n">
        <x:f>C45-C47</x:f>
        <x:v>0</x:v>
      </x:c>
      <x:c r="D49" t="inlineStr">
        <x:is>
          <x:t xml:space="preserve">تومان</x:t>
        </x:is>
      </x:c>
      <x:c r="E49" t="inlineStr">
        <x:is>
          <x:t xml:space="preserve">=C45-C47</x:t>
        </x:is>
      </x:c>
      <x:c r="F49" t="inlineStr">
        <x:is>
          <x:t xml:space="preserve"/>
        </x:is>
      </x:c>
    </x:row>
    <x:row r="50" ht="30" customHeight="1">
      <x:c r="A50" s="1" t="inlineStr">
        <x:is>
          <x:t xml:space="preserve">B · خرید و تأمین مالی؛ جزئیات هر ابزار</x:t>
        </x:is>
      </x:c>
    </x:row>
    <x:row r="51" ht="32" customHeight="1">
      <x:c r="A51" t="inlineStr">
        <x:is>
          <x:t xml:space="preserve">۴۵</x:t>
        </x:is>
      </x:c>
      <x:c r="B51" t="inlineStr">
        <x:is>
          <x:t xml:space="preserve">سهم خرید cheque</x:t>
        </x:is>
      </x:c>
      <x:c r="C51" s="10">
        <x:v>1</x:v>
      </x:c>
      <x:c r="D51" t="inlineStr">
        <x:is>
          <x:t xml:space="preserve">نسبت (۱ = ۱۰۰٪)</x:t>
        </x:is>
      </x:c>
      <x:c r="E51" t="inlineStr">
        <x:is>
          <x:t xml:space="preserve"/>
        </x:is>
      </x:c>
      <x:c r="F51" t="inlineStr">
        <x:is>
          <x:t xml:space="preserve"/>
        </x:is>
      </x:c>
    </x:row>
    <x:row r="52" ht="32" customHeight="1">
      <x:c r="A52" t="inlineStr">
        <x:is>
          <x:t xml:space="preserve">۴۶</x:t>
        </x:is>
      </x:c>
      <x:c r="B52" t="inlineStr">
        <x:is>
          <x:t xml:space="preserve">اصل تخصیص‌یافته cheque</x:t>
        </x:is>
      </x:c>
      <x:c r="C52" s="4" t="n">
        <x:f>C48*C51</x:f>
        <x:v>35000000000</x:v>
      </x:c>
      <x:c r="D52" t="inlineStr">
        <x:is>
          <x:t xml:space="preserve">تومان</x:t>
        </x:is>
      </x:c>
      <x:c r="E52" t="inlineStr">
        <x:is>
          <x:t xml:space="preserve">=C48*C51</x:t>
        </x:is>
      </x:c>
      <x:c r="F52" t="inlineStr">
        <x:is>
          <x:t xml:space="preserve"/>
        </x:is>
      </x:c>
    </x:row>
    <x:row r="53" ht="32" customHeight="1">
      <x:c r="A53" t="inlineStr">
        <x:is>
          <x:t xml:space="preserve">۴۷</x:t>
        </x:is>
      </x:c>
      <x:c r="B53" t="inlineStr">
        <x:is>
          <x:t xml:space="preserve">VAT تخصیص‌یافته cheque</x:t>
        </x:is>
      </x:c>
      <x:c r="C53" s="4" t="n">
        <x:f>C49*C51</x:f>
        <x:v>0</x:v>
      </x:c>
      <x:c r="D53" t="inlineStr">
        <x:is>
          <x:t xml:space="preserve">تومان</x:t>
        </x:is>
      </x:c>
      <x:c r="E53" t="inlineStr">
        <x:is>
          <x:t xml:space="preserve">=C49*C51</x:t>
        </x:is>
      </x:c>
      <x:c r="F53" t="inlineStr">
        <x:is>
          <x:t xml:space="preserve"/>
        </x:is>
      </x:c>
    </x:row>
    <x:row r="54" ht="32" customHeight="1">
      <x:c r="A54" t="inlineStr">
        <x:is>
          <x:t xml:space="preserve">۴۸</x:t>
        </x:is>
      </x:c>
      <x:c r="B54" t="inlineStr">
        <x:is>
          <x:t xml:space="preserve">چک · مدت</x:t>
        </x:is>
      </x:c>
      <x:c r="C54" s="3">
        <x:v>90</x:v>
      </x:c>
      <x:c r="D54" t="inlineStr">
        <x:is>
          <x:t xml:space="preserve">روز</x:t>
        </x:is>
      </x:c>
      <x:c r="E54" t="inlineStr">
        <x:is>
          <x:t xml:space="preserve"/>
        </x:is>
      </x:c>
      <x:c r="F54" t="inlineStr">
        <x:is>
          <x:t xml:space="preserve"/>
        </x:is>
      </x:c>
    </x:row>
    <x:row r="55" ht="32" customHeight="1">
      <x:c r="A55" t="inlineStr">
        <x:is>
          <x:t xml:space="preserve">۴۹</x:t>
        </x:is>
      </x:c>
      <x:c r="B55" t="inlineStr">
        <x:is>
          <x:t xml:space="preserve">چک · نرخ</x:t>
        </x:is>
      </x:c>
      <x:c r="C55" s="10">
        <x:v>0.02</x:v>
      </x:c>
      <x:c r="D55" t="inlineStr">
        <x:is>
          <x:t xml:space="preserve">نسبت (۱ = ۱۰۰٪)</x:t>
        </x:is>
      </x:c>
      <x:c r="E55" t="inlineStr">
        <x:is>
          <x:t xml:space="preserve"/>
        </x:is>
      </x:c>
      <x:c r="F55" t="inlineStr">
        <x:is>
          <x:t xml:space="preserve"/>
        </x:is>
      </x:c>
    </x:row>
    <x:row r="56" ht="32" customHeight="1">
      <x:c r="A56" t="inlineStr">
        <x:is>
          <x:t xml:space="preserve">۵۰</x:t>
        </x:is>
      </x:c>
      <x:c r="B56" t="inlineStr">
        <x:is>
          <x:t xml:space="preserve">چک · نرخ کارمزد</x:t>
        </x:is>
      </x:c>
      <x:c r="C56" s="10">
        <x:v>0.01</x:v>
      </x:c>
      <x:c r="D56" t="inlineStr">
        <x:is>
          <x:t xml:space="preserve">نسبت (۱ = ۱۰۰٪)</x:t>
        </x:is>
      </x:c>
      <x:c r="E56" t="inlineStr">
        <x:is>
          <x:t xml:space="preserve"/>
        </x:is>
      </x:c>
      <x:c r="F56" t="inlineStr">
        <x:is>
          <x:t xml:space="preserve"/>
        </x:is>
      </x:c>
    </x:row>
    <x:row r="57" ht="32" customHeight="1">
      <x:c r="A57" t="inlineStr">
        <x:is>
          <x:t xml:space="preserve">۵۱</x:t>
        </x:is>
      </x:c>
      <x:c r="B57" t="inlineStr">
        <x:is>
          <x:t xml:space="preserve">چک · درصد بلوکه</x:t>
        </x:is>
      </x:c>
      <x:c r="C57" s="10">
        <x:v>0</x:v>
      </x:c>
      <x:c r="D57" t="inlineStr">
        <x:is>
          <x:t xml:space="preserve">نسبت (۱ = ۱۰۰٪)</x:t>
        </x:is>
      </x:c>
      <x:c r="E57" t="inlineStr">
        <x:is>
          <x:t xml:space="preserve"/>
        </x:is>
      </x:c>
      <x:c r="F57" t="inlineStr">
        <x:is>
          <x:t xml:space="preserve"/>
        </x:is>
      </x:c>
    </x:row>
    <x:row r="58" ht="32" customHeight="1">
      <x:c r="A58" t="inlineStr">
        <x:is>
          <x:t xml:space="preserve">۵۲</x:t>
        </x:is>
      </x:c>
      <x:c r="B58" t="inlineStr">
        <x:is>
          <x:t xml:space="preserve">چک · اصل خرید</x:t>
        </x:is>
      </x:c>
      <x:c r="C58" s="4" t="n">
        <x:f>C52</x:f>
        <x:v>35000000000</x:v>
      </x:c>
      <x:c r="D58" t="inlineStr">
        <x:is>
          <x:t xml:space="preserve">تومان</x:t>
        </x:is>
      </x:c>
      <x:c r="E58" t="inlineStr">
        <x:is>
          <x:t xml:space="preserve">=C52</x:t>
        </x:is>
      </x:c>
      <x:c r="F58" t="inlineStr">
        <x:is>
          <x:t xml:space="preserve"/>
        </x:is>
      </x:c>
    </x:row>
    <x:row r="59" ht="32" customHeight="1">
      <x:c r="A59" t="inlineStr">
        <x:is>
          <x:t xml:space="preserve">۵۳</x:t>
        </x:is>
      </x:c>
      <x:c r="B59" t="inlineStr">
        <x:is>
          <x:t xml:space="preserve">چک · VAT تأمین‌شده</x:t>
        </x:is>
      </x:c>
      <x:c r="C59" s="4" t="n">
        <x:f>0</x:f>
        <x:v>0</x:v>
      </x:c>
      <x:c r="D59" t="inlineStr">
        <x:is>
          <x:t xml:space="preserve">تومان</x:t>
        </x:is>
      </x:c>
      <x:c r="E59" t="inlineStr">
        <x:is>
          <x:t xml:space="preserve">=0</x:t>
        </x:is>
      </x:c>
      <x:c r="F59" t="inlineStr">
        <x:is>
          <x:t xml:space="preserve"/>
        </x:is>
      </x:c>
    </x:row>
    <x:row r="60" ht="32" customHeight="1">
      <x:c r="A60" t="inlineStr">
        <x:is>
          <x:t xml:space="preserve">۵۴</x:t>
        </x:is>
      </x:c>
      <x:c r="B60" t="inlineStr">
        <x:is>
          <x:t xml:space="preserve">چک · VAT پرداخت نقدی</x:t>
        </x:is>
      </x:c>
      <x:c r="C60" s="4" t="n">
        <x:f>C53-C59</x:f>
        <x:v>0</x:v>
      </x:c>
      <x:c r="D60" t="inlineStr">
        <x:is>
          <x:t xml:space="preserve">تومان</x:t>
        </x:is>
      </x:c>
      <x:c r="E60" t="inlineStr">
        <x:is>
          <x:t xml:space="preserve">=C53-C59</x:t>
        </x:is>
      </x:c>
      <x:c r="F60" t="inlineStr">
        <x:is>
          <x:t xml:space="preserve"/>
        </x:is>
      </x:c>
    </x:row>
    <x:row r="61" ht="32" customHeight="1">
      <x:c r="A61" t="inlineStr">
        <x:is>
          <x:t xml:space="preserve">۵۵</x:t>
        </x:is>
      </x:c>
      <x:c r="B61" t="inlineStr">
        <x:is>
          <x:t xml:space="preserve">چک · اصل اعتبار</x:t>
        </x:is>
      </x:c>
      <x:c r="C61" s="4" t="n">
        <x:f>C58+C59</x:f>
        <x:v>35000000000</x:v>
      </x:c>
      <x:c r="D61" t="inlineStr">
        <x:is>
          <x:t xml:space="preserve">تومان</x:t>
        </x:is>
      </x:c>
      <x:c r="E61" t="inlineStr">
        <x:is>
          <x:t xml:space="preserve">=C58+C59</x:t>
        </x:is>
      </x:c>
      <x:c r="F61" t="inlineStr">
        <x:is>
          <x:t xml:space="preserve"/>
        </x:is>
      </x:c>
    </x:row>
    <x:row r="62" ht="32" customHeight="1">
      <x:c r="A62" t="inlineStr">
        <x:is>
          <x:t xml:space="preserve">۵۶</x:t>
        </x:is>
      </x:c>
      <x:c r="B62" t="inlineStr">
        <x:is>
          <x:t xml:space="preserve">چک · مبنای نرخ</x:t>
        </x:is>
      </x:c>
      <x:c r="C62" s="4" t="n">
        <x:f>C58</x:f>
        <x:v>35000000000</x:v>
      </x:c>
      <x:c r="D62" t="inlineStr">
        <x:is>
          <x:t xml:space="preserve">تومان</x:t>
        </x:is>
      </x:c>
      <x:c r="E62" t="inlineStr">
        <x:is>
          <x:t xml:space="preserve">=C58</x:t>
        </x:is>
      </x:c>
      <x:c r="F62" t="inlineStr">
        <x:is>
          <x:t xml:space="preserve"/>
        </x:is>
      </x:c>
    </x:row>
    <x:row r="63" ht="32" customHeight="1">
      <x:c r="A63" t="inlineStr">
        <x:is>
          <x:t xml:space="preserve">۵۷</x:t>
        </x:is>
      </x:c>
      <x:c r="B63" t="inlineStr">
        <x:is>
          <x:t xml:space="preserve">چک · ضریب نرخ ماهانه</x:t>
        </x:is>
      </x:c>
      <x:c r="C63" s="11" t="n">
        <x:f>C54/30</x:f>
        <x:v>3</x:v>
      </x:c>
      <x:c r="D63" t="inlineStr">
        <x:is>
          <x:t xml:space="preserve">ضریب</x:t>
        </x:is>
      </x:c>
      <x:c r="E63" t="inlineStr">
        <x:is>
          <x:t xml:space="preserve">=C54/30</x:t>
        </x:is>
      </x:c>
      <x:c r="F63" t="inlineStr">
        <x:is>
          <x:t xml:space="preserve"/>
        </x:is>
      </x:c>
    </x:row>
    <x:row r="64" ht="32" customHeight="1">
      <x:c r="A64" t="inlineStr">
        <x:is>
          <x:t xml:space="preserve">۵۸</x:t>
        </x:is>
      </x:c>
      <x:c r="B64" t="inlineStr">
        <x:is>
          <x:t xml:space="preserve">چک · اضافه‌قیمت مالی</x:t>
        </x:is>
      </x:c>
      <x:c r="C64" s="4" t="n">
        <x:f>C62*C55*C63</x:f>
        <x:v>2100000000</x:v>
      </x:c>
      <x:c r="D64" t="inlineStr">
        <x:is>
          <x:t xml:space="preserve">تومان</x:t>
        </x:is>
      </x:c>
      <x:c r="E64" t="inlineStr">
        <x:is>
          <x:t xml:space="preserve">=C62*C55*C63</x:t>
        </x:is>
      </x:c>
      <x:c r="F64" t="inlineStr">
        <x:is>
          <x:t xml:space="preserve"/>
        </x:is>
      </x:c>
    </x:row>
    <x:row r="65" ht="32" customHeight="1">
      <x:c r="A65" t="inlineStr">
        <x:is>
          <x:t xml:space="preserve">۵۹</x:t>
        </x:is>
      </x:c>
      <x:c r="B65" t="inlineStr">
        <x:is>
          <x:t xml:space="preserve">چک · مبنای کارمزد</x:t>
        </x:is>
      </x:c>
      <x:c r="C65" s="4" t="n">
        <x:f>C61+C64</x:f>
        <x:v>37100000000</x:v>
      </x:c>
      <x:c r="D65" t="inlineStr">
        <x:is>
          <x:t xml:space="preserve">تومان</x:t>
        </x:is>
      </x:c>
      <x:c r="E65" t="inlineStr">
        <x:is>
          <x:t xml:space="preserve">=C61+C64</x:t>
        </x:is>
      </x:c>
      <x:c r="F65" t="inlineStr">
        <x:is>
          <x:t xml:space="preserve"/>
        </x:is>
      </x:c>
    </x:row>
    <x:row r="66" ht="32" customHeight="1">
      <x:c r="A66" t="inlineStr">
        <x:is>
          <x:t xml:space="preserve">۶۰</x:t>
        </x:is>
      </x:c>
      <x:c r="B66" t="inlineStr">
        <x:is>
          <x:t xml:space="preserve">چک · ضریب کارمزد سالانه</x:t>
        </x:is>
      </x:c>
      <x:c r="C66" s="11" t="n">
        <x:f>C54/365</x:f>
        <x:v>0.2465753424657534</x:v>
      </x:c>
      <x:c r="D66" t="inlineStr">
        <x:is>
          <x:t xml:space="preserve">ضریب</x:t>
        </x:is>
      </x:c>
      <x:c r="E66" t="inlineStr">
        <x:is>
          <x:t xml:space="preserve">=C54/365</x:t>
        </x:is>
      </x:c>
      <x:c r="F66" t="inlineStr">
        <x:is>
          <x:t xml:space="preserve"/>
        </x:is>
      </x:c>
    </x:row>
    <x:row r="67" ht="32" customHeight="1">
      <x:c r="A67" t="inlineStr">
        <x:is>
          <x:t xml:space="preserve">۶۱</x:t>
        </x:is>
      </x:c>
      <x:c r="B67" t="inlineStr">
        <x:is>
          <x:t xml:space="preserve">چک · کارمزد</x:t>
        </x:is>
      </x:c>
      <x:c r="C67" s="4" t="n">
        <x:f>C65*C56*C66</x:f>
        <x:v>91479452.05479452</x:v>
      </x:c>
      <x:c r="D67" t="inlineStr">
        <x:is>
          <x:t xml:space="preserve">تومان</x:t>
        </x:is>
      </x:c>
      <x:c r="E67" t="inlineStr">
        <x:is>
          <x:t xml:space="preserve">=C65*C56*C66</x:t>
        </x:is>
      </x:c>
      <x:c r="F67" t="inlineStr">
        <x:is>
          <x:t xml:space="preserve"/>
        </x:is>
      </x:c>
    </x:row>
    <x:row r="68" ht="32" customHeight="1">
      <x:c r="A68" t="inlineStr">
        <x:is>
          <x:t xml:space="preserve">۶۲</x:t>
        </x:is>
      </x:c>
      <x:c r="B68" t="inlineStr">
        <x:is>
          <x:t xml:space="preserve">چک · کارمزد تأمین‌شده</x:t>
        </x:is>
      </x:c>
      <x:c r="C68" s="4" t="n">
        <x:f>0</x:f>
        <x:v>0</x:v>
      </x:c>
      <x:c r="D68" t="inlineStr">
        <x:is>
          <x:t xml:space="preserve">تومان</x:t>
        </x:is>
      </x:c>
      <x:c r="E68" t="inlineStr">
        <x:is>
          <x:t xml:space="preserve">=0</x:t>
        </x:is>
      </x:c>
      <x:c r="F68" t="inlineStr">
        <x:is>
          <x:t xml:space="preserve"/>
        </x:is>
      </x:c>
    </x:row>
    <x:row r="69" ht="32" customHeight="1">
      <x:c r="A69" t="inlineStr">
        <x:is>
          <x:t xml:space="preserve">۶۳</x:t>
        </x:is>
      </x:c>
      <x:c r="B69" t="inlineStr">
        <x:is>
          <x:t xml:space="preserve">چک · تعهد سررسید</x:t>
        </x:is>
      </x:c>
      <x:c r="C69" s="4" t="n">
        <x:f>C61+C64+C68</x:f>
        <x:v>37100000000</x:v>
      </x:c>
      <x:c r="D69" t="inlineStr">
        <x:is>
          <x:t xml:space="preserve">تومان</x:t>
        </x:is>
      </x:c>
      <x:c r="E69" t="inlineStr">
        <x:is>
          <x:t xml:space="preserve">=C61+C64+C68</x:t>
        </x:is>
      </x:c>
      <x:c r="F69" t="inlineStr">
        <x:is>
          <x:t xml:space="preserve"/>
        </x:is>
      </x:c>
    </x:row>
    <x:row r="70" ht="32" customHeight="1">
      <x:c r="A70" t="inlineStr">
        <x:is>
          <x:t xml:space="preserve">۶۴</x:t>
        </x:is>
      </x:c>
      <x:c r="B70" t="inlineStr">
        <x:is>
          <x:t xml:space="preserve">چک · وجه بلوکه</x:t>
        </x:is>
      </x:c>
      <x:c r="C70" s="4" t="n">
        <x:f>C61*C57</x:f>
        <x:v>0</x:v>
      </x:c>
      <x:c r="D70" t="inlineStr">
        <x:is>
          <x:t xml:space="preserve">تومان</x:t>
        </x:is>
      </x:c>
      <x:c r="E70" t="inlineStr">
        <x:is>
          <x:t xml:space="preserve">=C61*C57</x:t>
        </x:is>
      </x:c>
      <x:c r="F70" t="inlineStr">
        <x:is>
          <x:t xml:space="preserve"/>
        </x:is>
      </x:c>
    </x:row>
    <x:row r="71" ht="32" customHeight="1">
      <x:c r="A71" t="inlineStr">
        <x:is>
          <x:t xml:space="preserve">۶۵</x:t>
        </x:is>
      </x:c>
      <x:c r="B71" t="inlineStr">
        <x:is>
          <x:t xml:space="preserve">چک · پرداخت هنگام افتتاح</x:t>
        </x:is>
      </x:c>
      <x:c r="C71" s="4" t="n">
        <x:f>C60+C67-C68+C70</x:f>
        <x:v>91479452.05479452</x:v>
      </x:c>
      <x:c r="D71" t="inlineStr">
        <x:is>
          <x:t xml:space="preserve">تومان</x:t>
        </x:is>
      </x:c>
      <x:c r="E71" t="inlineStr">
        <x:is>
          <x:t xml:space="preserve">=C60+C67-C68+C70</x:t>
        </x:is>
      </x:c>
      <x:c r="F71" t="inlineStr">
        <x:is>
          <x:t xml:space="preserve"/>
        </x:is>
      </x:c>
    </x:row>
    <x:row r="72" ht="32" customHeight="1">
      <x:c r="A72" t="inlineStr">
        <x:is>
          <x:t xml:space="preserve">۶۶</x:t>
        </x:is>
      </x:c>
      <x:c r="B72" t="inlineStr">
        <x:is>
          <x:t xml:space="preserve">کل هزینه مالی خرید و فروش</x:t>
        </x:is>
      </x:c>
      <x:c r="C72" s="4" t="n">
        <x:f>C64+C67+C91</x:f>
        <x:v>2191479452.0547943</x:v>
      </x:c>
      <x:c r="D72" t="inlineStr">
        <x:is>
          <x:t xml:space="preserve">تومان</x:t>
        </x:is>
      </x:c>
      <x:c r="E72" t="inlineStr">
        <x:is>
          <x:t xml:space="preserve">=C64+C67+C91</x:t>
        </x:is>
      </x:c>
      <x:c r="F72" t="inlineStr">
        <x:is>
          <x:t xml:space="preserve"/>
        </x:is>
      </x:c>
    </x:row>
    <x:row r="73" ht="30" customHeight="1">
      <x:c r="A73" s="1" t="inlineStr">
        <x:is>
          <x:t xml:space="preserve">C · شرایط فروش؛ اصل، اضافه‌قیمت و کارمزد هر بخش</x:t>
        </x:is>
      </x:c>
    </x:row>
    <x:row r="74" ht="38" customHeight="1">
      <x:c r="A74" t="inlineStr">
        <x:is>
          <x:t xml:space="preserve">کارمزد دریافتی جزو درآمد و مشمول VAT فروش انتخاب‌شده است. کارمزد پرداختی جزو هزینه مالی است و VAT جداگانه ندارد. پیش‌دریافت از مبنای کارمزد کنار گذاشته شده است.</x:t>
        </x:is>
      </x:c>
    </x:row>
    <x:row r="75" ht="32" customHeight="1">
      <x:c r="A75" t="inlineStr">
        <x:is>
          <x:t xml:space="preserve">۶۷</x:t>
        </x:is>
      </x:c>
      <x:c r="B75" t="inlineStr">
        <x:is>
          <x:t xml:space="preserve">بخش ۱ فروش · سهم</x:t>
        </x:is>
      </x:c>
      <x:c r="C75" s="10">
        <x:v>1</x:v>
      </x:c>
      <x:c r="D75" t="inlineStr">
        <x:is>
          <x:t xml:space="preserve">نسبت (۱ = ۱۰۰٪)</x:t>
        </x:is>
      </x:c>
      <x:c r="E75" t="inlineStr">
        <x:is>
          <x:t xml:space="preserve"/>
        </x:is>
      </x:c>
      <x:c r="F75" t="inlineStr">
        <x:is>
          <x:t xml:space="preserve"/>
        </x:is>
      </x:c>
    </x:row>
    <x:row r="76" ht="32" customHeight="1">
      <x:c r="A76" t="inlineStr">
        <x:is>
          <x:t xml:space="preserve">۶۸</x:t>
        </x:is>
      </x:c>
      <x:c r="B76" t="inlineStr">
        <x:is>
          <x:t xml:space="preserve">بخش ۱ فروش · مدت اعتبار</x:t>
        </x:is>
      </x:c>
      <x:c r="C76" s="3">
        <x:v>0</x:v>
      </x:c>
      <x:c r="D76" t="inlineStr">
        <x:is>
          <x:t xml:space="preserve">روز</x:t>
        </x:is>
      </x:c>
      <x:c r="E76" t="inlineStr">
        <x:is>
          <x:t xml:space="preserve"/>
        </x:is>
      </x:c>
      <x:c r="F76" t="inlineStr">
        <x:is>
          <x:t xml:space="preserve"/>
        </x:is>
      </x:c>
    </x:row>
    <x:row r="77" ht="32" customHeight="1">
      <x:c r="A77" t="inlineStr">
        <x:is>
          <x:t xml:space="preserve">۶۹</x:t>
        </x:is>
      </x:c>
      <x:c r="B77" t="inlineStr">
        <x:is>
          <x:t xml:space="preserve">بخش ۱ فروش · نرخ اضافه‌قیمت</x:t>
        </x:is>
      </x:c>
      <x:c r="C77" s="10">
        <x:v>0</x:v>
      </x:c>
      <x:c r="D77" t="inlineStr">
        <x:is>
          <x:t xml:space="preserve">نسبت (۱ = ۱۰۰٪)</x:t>
        </x:is>
      </x:c>
      <x:c r="E77" t="inlineStr">
        <x:is>
          <x:t xml:space="preserve"/>
        </x:is>
      </x:c>
      <x:c r="F77" t="inlineStr">
        <x:is>
          <x:t xml:space="preserve"/>
        </x:is>
      </x:c>
    </x:row>
    <x:row r="78" ht="32" customHeight="1">
      <x:c r="A78" t="inlineStr">
        <x:is>
          <x:t xml:space="preserve">۷۰</x:t>
        </x:is>
      </x:c>
      <x:c r="B78" t="inlineStr">
        <x:is>
          <x:t xml:space="preserve">بخش ۱ فروش · نرخ کارمزد</x:t>
        </x:is>
      </x:c>
      <x:c r="C78" s="10">
        <x:v>0</x:v>
      </x:c>
      <x:c r="D78" t="inlineStr">
        <x:is>
          <x:t xml:space="preserve">نسبت (۱ = ۱۰۰٪)</x:t>
        </x:is>
      </x:c>
      <x:c r="E78" t="inlineStr">
        <x:is>
          <x:t xml:space="preserve"/>
        </x:is>
      </x:c>
      <x:c r="F78" t="inlineStr">
        <x:is>
          <x:t xml:space="preserve"/>
        </x:is>
      </x:c>
    </x:row>
    <x:row r="79" ht="32" customHeight="1">
      <x:c r="A79" t="inlineStr">
        <x:is>
          <x:t xml:space="preserve">۷۱</x:t>
        </x:is>
      </x:c>
      <x:c r="B79" t="inlineStr">
        <x:is>
          <x:t xml:space="preserve">بخش ۱ فروش · مبنای اضافه‌قیمت</x:t>
        </x:is>
      </x:c>
      <x:c r="C79" s="3" t="inlineStr">
        <x:is>
          <x:t xml:space="preserve">ثابت</x:t>
        </x:is>
      </x:c>
      <x:c r="D79" t="inlineStr">
        <x:is>
          <x:t xml:space="preserve"/>
        </x:is>
      </x:c>
      <x:c r="E79" t="inlineStr">
        <x:is>
          <x:t xml:space="preserve"/>
        </x:is>
      </x:c>
      <x:c r="F79" t="inlineStr">
        <x:is>
          <x:t xml:space="preserve"/>
        </x:is>
      </x:c>
    </x:row>
    <x:row r="80" ht="32" customHeight="1">
      <x:c r="A80" t="inlineStr">
        <x:is>
          <x:t xml:space="preserve">۷۲</x:t>
        </x:is>
      </x:c>
      <x:c r="B80" t="inlineStr">
        <x:is>
          <x:t xml:space="preserve">بخش ۱ فروش · مبنای کارمزد</x:t>
        </x:is>
      </x:c>
      <x:c r="C80" s="3" t="inlineStr">
        <x:is>
          <x:t xml:space="preserve">سالانه</x:t>
        </x:is>
      </x:c>
      <x:c r="D80" t="inlineStr">
        <x:is>
          <x:t xml:space="preserve"/>
        </x:is>
      </x:c>
      <x:c r="E80" t="inlineStr">
        <x:is>
          <x:t xml:space="preserve"/>
        </x:is>
      </x:c>
      <x:c r="F80" t="inlineStr">
        <x:is>
          <x:t xml:space="preserve"/>
        </x:is>
      </x:c>
    </x:row>
    <x:row r="81" ht="32" customHeight="1">
      <x:c r="A81" t="inlineStr">
        <x:is>
          <x:t xml:space="preserve">۷۳</x:t>
        </x:is>
      </x:c>
      <x:c r="B81" t="inlineStr">
        <x:is>
          <x:t xml:space="preserve">بخش ۱ فروش · جهت کارمزد</x:t>
        </x:is>
      </x:c>
      <x:c r="C81" s="3" t="inlineStr">
        <x:is>
          <x:t xml:space="preserve">دریافت از مشتری</x:t>
        </x:is>
      </x:c>
      <x:c r="D81" t="inlineStr">
        <x:is>
          <x:t xml:space="preserve"/>
        </x:is>
      </x:c>
      <x:c r="E81" t="inlineStr">
        <x:is>
          <x:t xml:space="preserve"/>
        </x:is>
      </x:c>
      <x:c r="F81" t="inlineStr">
        <x:is>
          <x:t xml:space="preserve"/>
        </x:is>
      </x:c>
    </x:row>
    <x:row r="82" ht="32" customHeight="1">
      <x:c r="A82" t="inlineStr">
        <x:is>
          <x:t xml:space="preserve">۷۴</x:t>
        </x:is>
      </x:c>
      <x:c r="B82" t="inlineStr">
        <x:is>
          <x:t xml:space="preserve">بخش ۱ فروش · روز کارمزد</x:t>
        </x:is>
      </x:c>
      <x:c r="C82" s="3">
        <x:v>30</x:v>
      </x:c>
      <x:c r="D82" t="inlineStr">
        <x:is>
          <x:t xml:space="preserve">روز از مبدأ</x:t>
        </x:is>
      </x:c>
      <x:c r="E82" t="inlineStr">
        <x:is>
          <x:t xml:space="preserve"/>
        </x:is>
      </x:c>
      <x:c r="F82" t="inlineStr">
        <x:is>
          <x:t xml:space="preserve">هنگام وصول این بخش</x:t>
        </x:is>
      </x:c>
    </x:row>
    <x:row r="83" ht="32" customHeight="1">
      <x:c r="A83" t="inlineStr">
        <x:is>
          <x:t xml:space="preserve">۷۵</x:t>
        </x:is>
      </x:c>
      <x:c r="B83" t="inlineStr">
        <x:is>
          <x:t xml:space="preserve">بخش ۱ فروش · اصل فروش</x:t>
        </x:is>
      </x:c>
      <x:c r="C83" s="4" t="n">
        <x:f>C44*C75</x:f>
        <x:v>38000000000</x:v>
      </x:c>
      <x:c r="D83" t="inlineStr">
        <x:is>
          <x:t xml:space="preserve">تومان</x:t>
        </x:is>
      </x:c>
      <x:c r="E83" t="inlineStr">
        <x:is>
          <x:t xml:space="preserve">=C44*C75</x:t>
        </x:is>
      </x:c>
      <x:c r="F83" t="inlineStr">
        <x:is>
          <x:t xml:space="preserve"/>
        </x:is>
      </x:c>
    </x:row>
    <x:row r="84" ht="32" customHeight="1">
      <x:c r="A84" t="inlineStr">
        <x:is>
          <x:t xml:space="preserve">۷۶</x:t>
        </x:is>
      </x:c>
      <x:c r="B84" t="inlineStr">
        <x:is>
          <x:t xml:space="preserve">بخش ۱ فروش · ضریب اضافه‌قیمت</x:t>
        </x:is>
      </x:c>
      <x:c r="C84" s="11" t="n">
        <x:f>1</x:f>
        <x:v>1</x:v>
      </x:c>
      <x:c r="D84" t="inlineStr">
        <x:is>
          <x:t xml:space="preserve">ضریب</x:t>
        </x:is>
      </x:c>
      <x:c r="E84" t="inlineStr">
        <x:is>
          <x:t xml:space="preserve">=1</x:t>
        </x:is>
      </x:c>
      <x:c r="F84" t="inlineStr">
        <x:is>
          <x:t xml:space="preserve"/>
        </x:is>
      </x:c>
    </x:row>
    <x:row r="85" ht="32" customHeight="1">
      <x:c r="A85" t="inlineStr">
        <x:is>
          <x:t xml:space="preserve">۷۷</x:t>
        </x:is>
      </x:c>
      <x:c r="B85" t="inlineStr">
        <x:is>
          <x:t xml:space="preserve">بخش ۱ فروش · مبلغ اضافه‌قیمت</x:t>
        </x:is>
      </x:c>
      <x:c r="C85" s="4" t="n">
        <x:f>C83*C77*C84</x:f>
        <x:v>0</x:v>
      </x:c>
      <x:c r="D85" t="inlineStr">
        <x:is>
          <x:t xml:space="preserve">تومان</x:t>
        </x:is>
      </x:c>
      <x:c r="E85" t="inlineStr">
        <x:is>
          <x:t xml:space="preserve">=C83*C77*C84</x:t>
        </x:is>
      </x:c>
      <x:c r="F85" t="inlineStr">
        <x:is>
          <x:t xml:space="preserve"/>
        </x:is>
      </x:c>
    </x:row>
    <x:row r="86" ht="32" customHeight="1">
      <x:c r="A86" t="inlineStr">
        <x:is>
          <x:t xml:space="preserve">۷۸</x:t>
        </x:is>
      </x:c>
      <x:c r="B86" t="inlineStr">
        <x:is>
          <x:t xml:space="preserve">بخش ۱ فروش · خالص پس از اضافه‌قیمت</x:t>
        </x:is>
      </x:c>
      <x:c r="C86" s="4" t="n">
        <x:f>C83+C85</x:f>
        <x:v>38000000000</x:v>
      </x:c>
      <x:c r="D86" t="inlineStr">
        <x:is>
          <x:t xml:space="preserve">تومان</x:t>
        </x:is>
      </x:c>
      <x:c r="E86" t="inlineStr">
        <x:is>
          <x:t xml:space="preserve">=C83+C85</x:t>
        </x:is>
      </x:c>
      <x:c r="F86" t="inlineStr">
        <x:is>
          <x:t xml:space="preserve"/>
        </x:is>
      </x:c>
    </x:row>
    <x:row r="87" ht="32" customHeight="1">
      <x:c r="A87" t="inlineStr">
        <x:is>
          <x:t xml:space="preserve">۷۹</x:t>
        </x:is>
      </x:c>
      <x:c r="B87" t="inlineStr">
        <x:is>
          <x:t xml:space="preserve">بخش ۱ فروش · مبنای کارمزد</x:t>
        </x:is>
      </x:c>
      <x:c r="C87" s="4" t="n">
        <x:f>C86</x:f>
        <x:v>38000000000</x:v>
      </x:c>
      <x:c r="D87" t="inlineStr">
        <x:is>
          <x:t xml:space="preserve">تومان</x:t>
        </x:is>
      </x:c>
      <x:c r="E87" t="inlineStr">
        <x:is>
          <x:t xml:space="preserve">=C86</x:t>
        </x:is>
      </x:c>
      <x:c r="F87" t="inlineStr">
        <x:is>
          <x:t xml:space="preserve">بدون VAT</x:t>
        </x:is>
      </x:c>
    </x:row>
    <x:row r="88" ht="32" customHeight="1">
      <x:c r="A88" t="inlineStr">
        <x:is>
          <x:t xml:space="preserve">۸۰</x:t>
        </x:is>
      </x:c>
      <x:c r="B88" t="inlineStr">
        <x:is>
          <x:t xml:space="preserve">بخش ۱ فروش · ضریب دوره کارمزد</x:t>
        </x:is>
      </x:c>
      <x:c r="C88" s="11" t="n">
        <x:f>C76/365</x:f>
        <x:v>0</x:v>
      </x:c>
      <x:c r="D88" t="inlineStr">
        <x:is>
          <x:t xml:space="preserve">ضریب</x:t>
        </x:is>
      </x:c>
      <x:c r="E88" t="inlineStr">
        <x:is>
          <x:t xml:space="preserve">=C76/365</x:t>
        </x:is>
      </x:c>
      <x:c r="F88" t="inlineStr">
        <x:is>
          <x:t xml:space="preserve"/>
        </x:is>
      </x:c>
    </x:row>
    <x:row r="89" ht="32" customHeight="1">
      <x:c r="A89" t="inlineStr">
        <x:is>
          <x:t xml:space="preserve">۸۱</x:t>
        </x:is>
      </x:c>
      <x:c r="B89" t="inlineStr">
        <x:is>
          <x:t xml:space="preserve">بخش ۱ فروش · مبلغ کارمزد</x:t>
        </x:is>
      </x:c>
      <x:c r="C89" s="4" t="n">
        <x:f>C87*C78*C88</x:f>
        <x:v>0</x:v>
      </x:c>
      <x:c r="D89" t="inlineStr">
        <x:is>
          <x:t xml:space="preserve">تومان</x:t>
        </x:is>
      </x:c>
      <x:c r="E89" t="inlineStr">
        <x:is>
          <x:t xml:space="preserve">=C87*C78*C88</x:t>
        </x:is>
      </x:c>
      <x:c r="F89" t="inlineStr">
        <x:is>
          <x:t xml:space="preserve"/>
        </x:is>
      </x:c>
    </x:row>
    <x:row r="90" ht="32" customHeight="1">
      <x:c r="A90" t="inlineStr">
        <x:is>
          <x:t xml:space="preserve">۸۲</x:t>
        </x:is>
      </x:c>
      <x:c r="B90" t="inlineStr">
        <x:is>
          <x:t xml:space="preserve">جمع کارمزد دریافتی</x:t>
        </x:is>
      </x:c>
      <x:c r="C90" s="4" t="n">
        <x:f>C89</x:f>
        <x:v>0</x:v>
      </x:c>
      <x:c r="D90" t="inlineStr">
        <x:is>
          <x:t xml:space="preserve">تومان</x:t>
        </x:is>
      </x:c>
      <x:c r="E90" t="inlineStr">
        <x:is>
          <x:t xml:space="preserve">=C89</x:t>
        </x:is>
      </x:c>
      <x:c r="F90" t="inlineStr">
        <x:is>
          <x:t xml:space="preserve"/>
        </x:is>
      </x:c>
    </x:row>
    <x:row r="91" ht="32" customHeight="1">
      <x:c r="A91" t="inlineStr">
        <x:is>
          <x:t xml:space="preserve">۸۳</x:t>
        </x:is>
      </x:c>
      <x:c r="B91" t="inlineStr">
        <x:is>
          <x:t xml:space="preserve">جمع کارمزد پرداختی</x:t>
        </x:is>
      </x:c>
      <x:c r="C91" s="4" t="n">
        <x:f>0</x:f>
        <x:v>0</x:v>
      </x:c>
      <x:c r="D91" t="inlineStr">
        <x:is>
          <x:t xml:space="preserve">تومان</x:t>
        </x:is>
      </x:c>
      <x:c r="E91" t="inlineStr">
        <x:is>
          <x:t xml:space="preserve">=0</x:t>
        </x:is>
      </x:c>
      <x:c r="F91" t="inlineStr">
        <x:is>
          <x:t xml:space="preserve"/>
        </x:is>
      </x:c>
    </x:row>
    <x:row r="92" ht="32" customHeight="1">
      <x:c r="A92" t="inlineStr">
        <x:is>
          <x:t xml:space="preserve">۸۴</x:t>
        </x:is>
      </x:c>
      <x:c r="B92" t="inlineStr">
        <x:is>
          <x:t xml:space="preserve">کل درآمد فروش و کارمزد دریافتی</x:t>
        </x:is>
      </x:c>
      <x:c r="C92" s="4" t="n">
        <x:f>C86+C43+C90</x:f>
        <x:v>38000000000</x:v>
      </x:c>
      <x:c r="D92" t="inlineStr">
        <x:is>
          <x:t xml:space="preserve">تومان</x:t>
        </x:is>
      </x:c>
      <x:c r="E92" t="inlineStr">
        <x:is>
          <x:t xml:space="preserve">=C86+C43+C90</x:t>
        </x:is>
      </x:c>
      <x:c r="F92" t="inlineStr">
        <x:is>
          <x:t xml:space="preserve"/>
        </x:is>
      </x:c>
    </x:row>
    <x:row r="93" ht="30" customHeight="1">
      <x:c r="A93" s="1" t="inlineStr">
        <x:is>
          <x:t xml:space="preserve">D · هزینه‌های عملیاتی، خارجی و سفارشی</x:t>
        </x:is>
      </x:c>
    </x:row>
    <x:row r="94" ht="32" customHeight="1">
      <x:c r="A94" t="inlineStr">
        <x:is>
          <x:t xml:space="preserve">۸۵</x:t>
        </x:is>
      </x:c>
      <x:c r="B94" t="inlineStr">
        <x:is>
          <x:t xml:space="preserve">پایه بیمه صادرات</x:t>
        </x:is>
      </x:c>
      <x:c r="C94" s="4" t="n">
        <x:f>C42</x:f>
        <x:v>38000000000</x:v>
      </x:c>
      <x:c r="D94" t="inlineStr">
        <x:is>
          <x:t xml:space="preserve">تومان</x:t>
        </x:is>
      </x:c>
      <x:c r="E94" t="inlineStr">
        <x:is>
          <x:t xml:space="preserve">=C42</x:t>
        </x:is>
      </x:c>
      <x:c r="F94" t="inlineStr">
        <x:is>
          <x:t xml:space="preserve"/>
        </x:is>
      </x:c>
    </x:row>
    <x:row r="95" ht="32" customHeight="1">
      <x:c r="A95" t="inlineStr">
        <x:is>
          <x:t xml:space="preserve">۸۶</x:t>
        </x:is>
      </x:c>
      <x:c r="B95" t="inlineStr">
        <x:is>
          <x:t xml:space="preserve">مبنای حمل واردات</x:t>
        </x:is>
      </x:c>
      <x:c r="C95" s="4" t="n">
        <x:f>C10*C21*C13</x:f>
        <x:v>0</x:v>
      </x:c>
      <x:c r="D95" t="inlineStr">
        <x:is>
          <x:t xml:space="preserve">تومان</x:t>
        </x:is>
      </x:c>
      <x:c r="E95" t="inlineStr">
        <x:is>
          <x:t xml:space="preserve">=C10*C21*C13</x:t>
        </x:is>
      </x:c>
      <x:c r="F95" t="inlineStr">
        <x:is>
          <x:t xml:space="preserve"/>
        </x:is>
      </x:c>
    </x:row>
    <x:row r="96" ht="32" customHeight="1">
      <x:c r="A96" t="inlineStr">
        <x:is>
          <x:t xml:space="preserve">۸۷</x:t>
        </x:is>
      </x:c>
      <x:c r="B96" t="inlineStr">
        <x:is>
          <x:t xml:space="preserve">مبنای بیمه واردات</x:t>
        </x:is>
      </x:c>
      <x:c r="C96" s="4" t="n">
        <x:f>(C41+C95)*C35</x:f>
        <x:v>0</x:v>
      </x:c>
      <x:c r="D96" t="inlineStr">
        <x:is>
          <x:t xml:space="preserve">تومان</x:t>
        </x:is>
      </x:c>
      <x:c r="E96" t="inlineStr">
        <x:is>
          <x:t xml:space="preserve">=(C41+C95)*C35</x:t>
        </x:is>
      </x:c>
      <x:c r="F96" t="inlineStr">
        <x:is>
          <x:t xml:space="preserve"/>
        </x:is>
      </x:c>
    </x:row>
    <x:row r="97" ht="32" customHeight="1">
      <x:c r="A97" t="inlineStr">
        <x:is>
          <x:t xml:space="preserve">۸۸</x:t>
        </x:is>
      </x:c>
      <x:c r="B97" t="inlineStr">
        <x:is>
          <x:t xml:space="preserve">ارزش مبنای گمرک واردات</x:t>
        </x:is>
      </x:c>
      <x:c r="C97" s="4" t="n">
        <x:f>C41+C95+C96</x:f>
        <x:v>35000000000</x:v>
      </x:c>
      <x:c r="D97" t="inlineStr">
        <x:is>
          <x:t xml:space="preserve">تومان</x:t>
        </x:is>
      </x:c>
      <x:c r="E97" t="inlineStr">
        <x:is>
          <x:t xml:space="preserve">=C41+C95+C96</x:t>
        </x:is>
      </x:c>
      <x:c r="F97" t="inlineStr">
        <x:is>
          <x:t xml:space="preserve"/>
        </x:is>
      </x:c>
    </x:row>
    <x:row r="98" ht="32" customHeight="1">
      <x:c r="A98" t="inlineStr">
        <x:is>
          <x:t xml:space="preserve">۸۹</x:t>
        </x:is>
      </x:c>
      <x:c r="B98" t="inlineStr">
        <x:is>
          <x:t xml:space="preserve">حقوق گمرکی محاسباتی</x:t>
        </x:is>
      </x:c>
      <x:c r="C98" s="4" t="n">
        <x:f>C97*C36</x:f>
        <x:v>0</x:v>
      </x:c>
      <x:c r="D98" t="inlineStr">
        <x:is>
          <x:t xml:space="preserve">تومان</x:t>
        </x:is>
      </x:c>
      <x:c r="E98" t="inlineStr">
        <x:is>
          <x:t xml:space="preserve">=C97*C36</x:t>
        </x:is>
      </x:c>
      <x:c r="F98" t="inlineStr">
        <x:is>
          <x:t xml:space="preserve"/>
        </x:is>
      </x:c>
    </x:row>
    <x:row r="99" ht="32" customHeight="1">
      <x:c r="A99" t="inlineStr">
        <x:is>
          <x:t xml:space="preserve">۹۰</x:t>
        </x:is>
      </x:c>
      <x:c r="B99" t="inlineStr">
        <x:is>
          <x:t xml:space="preserve">VAT پرداختی واردات</x:t>
        </x:is>
      </x:c>
      <x:c r="C99" s="4" t="n">
        <x:f>0</x:f>
        <x:v>0</x:v>
      </x:c>
      <x:c r="D99" t="inlineStr">
        <x:is>
          <x:t xml:space="preserve">تومان</x:t>
        </x:is>
      </x:c>
      <x:c r="E99" t="inlineStr">
        <x:is>
          <x:t xml:space="preserve">=0</x:t>
        </x:is>
      </x:c>
      <x:c r="F99" t="inlineStr">
        <x:is>
          <x:t xml:space="preserve"/>
        </x:is>
      </x:c>
    </x:row>
    <x:row r="100" ht="32" customHeight="1">
      <x:c r="A100" t="inlineStr">
        <x:is>
          <x:t xml:space="preserve">۹۱</x:t>
        </x:is>
      </x:c>
      <x:c r="B100" t="inlineStr">
        <x:is>
          <x:t xml:space="preserve">حمل ورودی · روز</x:t>
        </x:is>
      </x:c>
      <x:c r="C100" s="3">
        <x:v>0</x:v>
      </x:c>
      <x:c r="D100" t="inlineStr">
        <x:is>
          <x:t xml:space="preserve">روز از مبدأ</x:t>
        </x:is>
      </x:c>
      <x:c r="E100" t="inlineStr">
        <x:is>
          <x:t xml:space="preserve"/>
        </x:is>
      </x:c>
      <x:c r="F100" t="inlineStr">
        <x:is>
          <x:t xml:space="preserve"/>
        </x:is>
      </x:c>
    </x:row>
    <x:row r="101" ht="32" customHeight="1">
      <x:c r="A101" t="inlineStr">
        <x:is>
          <x:t xml:space="preserve">۹۲</x:t>
        </x:is>
      </x:c>
      <x:c r="B101" t="inlineStr">
        <x:is>
          <x:t xml:space="preserve">حمل ورودی · خالص</x:t>
        </x:is>
      </x:c>
      <x:c r="C101" s="4" t="n">
        <x:f>C10*C18</x:f>
        <x:v>0</x:v>
      </x:c>
      <x:c r="D101" t="inlineStr">
        <x:is>
          <x:t xml:space="preserve">تومان</x:t>
        </x:is>
      </x:c>
      <x:c r="E101" t="inlineStr">
        <x:is>
          <x:t xml:space="preserve">=C10*C18</x:t>
        </x:is>
      </x:c>
      <x:c r="F101" t="inlineStr">
        <x:is>
          <x:t xml:space="preserve"/>
        </x:is>
      </x:c>
    </x:row>
    <x:row r="102" ht="32" customHeight="1">
      <x:c r="A102" t="inlineStr">
        <x:is>
          <x:t xml:space="preserve">۹۳</x:t>
        </x:is>
      </x:c>
      <x:c r="B102" t="inlineStr">
        <x:is>
          <x:t xml:space="preserve">حمل ورودی · VAT</x:t>
        </x:is>
      </x:c>
      <x:c r="C102" s="4" t="n">
        <x:f>C101*C32</x:f>
        <x:v>0</x:v>
      </x:c>
      <x:c r="D102" t="inlineStr">
        <x:is>
          <x:t xml:space="preserve">تومان</x:t>
        </x:is>
      </x:c>
      <x:c r="E102" t="inlineStr">
        <x:is>
          <x:t xml:space="preserve">=C101*C32</x:t>
        </x:is>
      </x:c>
      <x:c r="F102" t="inlineStr">
        <x:is>
          <x:t xml:space="preserve"/>
        </x:is>
      </x:c>
    </x:row>
    <x:row r="103" ht="32" customHeight="1">
      <x:c r="A103" t="inlineStr">
        <x:is>
          <x:t xml:space="preserve">۹۴</x:t>
        </x:is>
      </x:c>
      <x:c r="B103" t="inlineStr">
        <x:is>
          <x:t xml:space="preserve">حمل ورودی · هزینه اقتصادی</x:t>
        </x:is>
      </x:c>
      <x:c r="C103" s="4" t="n">
        <x:f>C101</x:f>
        <x:v>0</x:v>
      </x:c>
      <x:c r="D103" t="inlineStr">
        <x:is>
          <x:t xml:space="preserve">تومان</x:t>
        </x:is>
      </x:c>
      <x:c r="E103" t="inlineStr">
        <x:is>
          <x:t xml:space="preserve">=C101</x:t>
        </x:is>
      </x:c>
      <x:c r="F103" t="inlineStr">
        <x:is>
          <x:t xml:space="preserve">VAT قابل بازیافت هزینه نیست</x:t>
        </x:is>
      </x:c>
    </x:row>
    <x:row r="104" ht="32" customHeight="1">
      <x:c r="A104" t="inlineStr">
        <x:is>
          <x:t xml:space="preserve">۹۵</x:t>
        </x:is>
      </x:c>
      <x:c r="B104" t="inlineStr">
        <x:is>
          <x:t xml:space="preserve">انبارداری · روز</x:t>
        </x:is>
      </x:c>
      <x:c r="C104" s="3">
        <x:v>15</x:v>
      </x:c>
      <x:c r="D104" t="inlineStr">
        <x:is>
          <x:t xml:space="preserve">روز از مبدأ</x:t>
        </x:is>
      </x:c>
      <x:c r="E104" t="inlineStr">
        <x:is>
          <x:t xml:space="preserve"/>
        </x:is>
      </x:c>
      <x:c r="F104" t="inlineStr">
        <x:is>
          <x:t xml:space="preserve"/>
        </x:is>
      </x:c>
    </x:row>
    <x:row r="105" ht="32" customHeight="1">
      <x:c r="A105" t="inlineStr">
        <x:is>
          <x:t xml:space="preserve">۹۶</x:t>
        </x:is>
      </x:c>
      <x:c r="B105" t="inlineStr">
        <x:is>
          <x:t xml:space="preserve">انبارداری · خالص</x:t>
        </x:is>
      </x:c>
      <x:c r="C105" s="4" t="n">
        <x:f>C10*C19*C15/30</x:f>
        <x:v>0</x:v>
      </x:c>
      <x:c r="D105" t="inlineStr">
        <x:is>
          <x:t xml:space="preserve">تومان</x:t>
        </x:is>
      </x:c>
      <x:c r="E105" t="inlineStr">
        <x:is>
          <x:t xml:space="preserve">=C10*C19*C15/30</x:t>
        </x:is>
      </x:c>
      <x:c r="F105" t="inlineStr">
        <x:is>
          <x:t xml:space="preserve"/>
        </x:is>
      </x:c>
    </x:row>
    <x:row r="106" ht="32" customHeight="1">
      <x:c r="A106" t="inlineStr">
        <x:is>
          <x:t xml:space="preserve">۹۷</x:t>
        </x:is>
      </x:c>
      <x:c r="B106" t="inlineStr">
        <x:is>
          <x:t xml:space="preserve">انبارداری · VAT</x:t>
        </x:is>
      </x:c>
      <x:c r="C106" s="4" t="n">
        <x:f>C105*C32</x:f>
        <x:v>0</x:v>
      </x:c>
      <x:c r="D106" t="inlineStr">
        <x:is>
          <x:t xml:space="preserve">تومان</x:t>
        </x:is>
      </x:c>
      <x:c r="E106" t="inlineStr">
        <x:is>
          <x:t xml:space="preserve">=C105*C32</x:t>
        </x:is>
      </x:c>
      <x:c r="F106" t="inlineStr">
        <x:is>
          <x:t xml:space="preserve"/>
        </x:is>
      </x:c>
    </x:row>
    <x:row r="107" ht="32" customHeight="1">
      <x:c r="A107" t="inlineStr">
        <x:is>
          <x:t xml:space="preserve">۹۸</x:t>
        </x:is>
      </x:c>
      <x:c r="B107" t="inlineStr">
        <x:is>
          <x:t xml:space="preserve">انبارداری · هزینه اقتصادی</x:t>
        </x:is>
      </x:c>
      <x:c r="C107" s="4" t="n">
        <x:f>C105</x:f>
        <x:v>0</x:v>
      </x:c>
      <x:c r="D107" t="inlineStr">
        <x:is>
          <x:t xml:space="preserve">تومان</x:t>
        </x:is>
      </x:c>
      <x:c r="E107" t="inlineStr">
        <x:is>
          <x:t xml:space="preserve">=C105</x:t>
        </x:is>
      </x:c>
      <x:c r="F107" t="inlineStr">
        <x:is>
          <x:t xml:space="preserve">VAT قابل بازیافت هزینه نیست</x:t>
        </x:is>
      </x:c>
    </x:row>
    <x:row r="108" ht="32" customHeight="1">
      <x:c r="A108" t="inlineStr">
        <x:is>
          <x:t xml:space="preserve">۹۹</x:t>
        </x:is>
      </x:c>
      <x:c r="B108" t="inlineStr">
        <x:is>
          <x:t xml:space="preserve">حمل خروجی · روز</x:t>
        </x:is>
      </x:c>
      <x:c r="C108" s="3">
        <x:v>30</x:v>
      </x:c>
      <x:c r="D108" t="inlineStr">
        <x:is>
          <x:t xml:space="preserve">روز از مبدأ</x:t>
        </x:is>
      </x:c>
      <x:c r="E108" t="inlineStr">
        <x:is>
          <x:t xml:space="preserve"/>
        </x:is>
      </x:c>
      <x:c r="F108" t="inlineStr">
        <x:is>
          <x:t xml:space="preserve"/>
        </x:is>
      </x:c>
    </x:row>
    <x:row r="109" ht="32" customHeight="1">
      <x:c r="A109" t="inlineStr">
        <x:is>
          <x:t xml:space="preserve">۱۰۰</x:t>
        </x:is>
      </x:c>
      <x:c r="B109" t="inlineStr">
        <x:is>
          <x:t xml:space="preserve">حمل خروجی · خالص</x:t>
        </x:is>
      </x:c>
      <x:c r="C109" s="4" t="n">
        <x:f>C40*C20</x:f>
        <x:v>0</x:v>
      </x:c>
      <x:c r="D109" t="inlineStr">
        <x:is>
          <x:t xml:space="preserve">تومان</x:t>
        </x:is>
      </x:c>
      <x:c r="E109" t="inlineStr">
        <x:is>
          <x:t xml:space="preserve">=C40*C20</x:t>
        </x:is>
      </x:c>
      <x:c r="F109" t="inlineStr">
        <x:is>
          <x:t xml:space="preserve"/>
        </x:is>
      </x:c>
    </x:row>
    <x:row r="110" ht="32" customHeight="1">
      <x:c r="A110" t="inlineStr">
        <x:is>
          <x:t xml:space="preserve">۱۰۱</x:t>
        </x:is>
      </x:c>
      <x:c r="B110" t="inlineStr">
        <x:is>
          <x:t xml:space="preserve">حمل خروجی · VAT</x:t>
        </x:is>
      </x:c>
      <x:c r="C110" s="4" t="n">
        <x:f>C109*C32</x:f>
        <x:v>0</x:v>
      </x:c>
      <x:c r="D110" t="inlineStr">
        <x:is>
          <x:t xml:space="preserve">تومان</x:t>
        </x:is>
      </x:c>
      <x:c r="E110" t="inlineStr">
        <x:is>
          <x:t xml:space="preserve">=C109*C32</x:t>
        </x:is>
      </x:c>
      <x:c r="F110" t="inlineStr">
        <x:is>
          <x:t xml:space="preserve"/>
        </x:is>
      </x:c>
    </x:row>
    <x:row r="111" ht="32" customHeight="1">
      <x:c r="A111" t="inlineStr">
        <x:is>
          <x:t xml:space="preserve">۱۰۲</x:t>
        </x:is>
      </x:c>
      <x:c r="B111" t="inlineStr">
        <x:is>
          <x:t xml:space="preserve">حمل خروجی · هزینه اقتصادی</x:t>
        </x:is>
      </x:c>
      <x:c r="C111" s="4" t="n">
        <x:f>C109</x:f>
        <x:v>0</x:v>
      </x:c>
      <x:c r="D111" t="inlineStr">
        <x:is>
          <x:t xml:space="preserve">تومان</x:t>
        </x:is>
      </x:c>
      <x:c r="E111" t="inlineStr">
        <x:is>
          <x:t xml:space="preserve">=C109</x:t>
        </x:is>
      </x:c>
      <x:c r="F111" t="inlineStr">
        <x:is>
          <x:t xml:space="preserve">VAT قابل بازیافت هزینه نیست</x:t>
        </x:is>
      </x:c>
    </x:row>
    <x:row r="112" ht="32" customHeight="1">
      <x:c r="A112" t="inlineStr">
        <x:is>
          <x:t xml:space="preserve">۱۰۳</x:t>
        </x:is>
      </x:c>
      <x:c r="B112" t="inlineStr">
        <x:is>
          <x:t xml:space="preserve">جمع هزینه عملیاتی</x:t>
        </x:is>
      </x:c>
      <x:c r="C112" s="4" t="n">
        <x:f>C103+C107+C111</x:f>
        <x:v>0</x:v>
      </x:c>
      <x:c r="D112" t="inlineStr">
        <x:is>
          <x:t xml:space="preserve">تومان</x:t>
        </x:is>
      </x:c>
      <x:c r="E112" t="inlineStr">
        <x:is>
          <x:t xml:space="preserve">=C103+C107+C111</x:t>
        </x:is>
      </x:c>
      <x:c r="F112" t="inlineStr">
        <x:is>
          <x:t xml:space="preserve"/>
        </x:is>
      </x:c>
    </x:row>
    <x:row r="113" ht="30" customHeight="1">
      <x:c r="A113" s="1" t="inlineStr">
        <x:is>
          <x:t xml:space="preserve">E · وصول‌ها، زیان مورد انتظار و دفتر VAT</x:t>
        </x:is>
      </x:c>
    </x:row>
    <x:row r="114" ht="32" customHeight="1">
      <x:c r="A114" t="inlineStr">
        <x:is>
          <x:t xml:space="preserve">۱۰۴</x:t>
        </x:is>
      </x:c>
      <x:c r="B114" t="inlineStr">
        <x:is>
          <x:t xml:space="preserve">وصول ۱ · روز</x:t>
        </x:is>
      </x:c>
      <x:c r="C114" s="3">
        <x:v>30</x:v>
      </x:c>
      <x:c r="D114" t="inlineStr">
        <x:is>
          <x:t xml:space="preserve">روز از مبدأ</x:t>
        </x:is>
      </x:c>
      <x:c r="E114" t="inlineStr">
        <x:is>
          <x:t xml:space="preserve"/>
        </x:is>
      </x:c>
      <x:c r="F114" t="inlineStr">
        <x:is>
          <x:t xml:space="preserve"/>
        </x:is>
      </x:c>
    </x:row>
    <x:row r="115" ht="32" customHeight="1">
      <x:c r="A115" t="inlineStr">
        <x:is>
          <x:t xml:space="preserve">۱۰۵</x:t>
        </x:is>
      </x:c>
      <x:c r="B115" t="inlineStr">
        <x:is>
          <x:t xml:space="preserve">وصول ۱ · فروش</x:t>
        </x:is>
      </x:c>
      <x:c r="C115" s="4" t="n">
        <x:f>C86</x:f>
        <x:v>38000000000</x:v>
      </x:c>
      <x:c r="D115" t="inlineStr">
        <x:is>
          <x:t xml:space="preserve">تومان</x:t>
        </x:is>
      </x:c>
      <x:c r="E115" t="inlineStr">
        <x:is>
          <x:t xml:space="preserve">=C86</x:t>
        </x:is>
      </x:c>
      <x:c r="F115" t="inlineStr">
        <x:is>
          <x:t xml:space="preserve"/>
        </x:is>
      </x:c>
    </x:row>
    <x:row r="116" ht="32" customHeight="1">
      <x:c r="A116" t="inlineStr">
        <x:is>
          <x:t xml:space="preserve">۱۰۶</x:t>
        </x:is>
      </x:c>
      <x:c r="B116" t="inlineStr">
        <x:is>
          <x:t xml:space="preserve">وصول ۱ · زیان مورد انتظار</x:t>
        </x:is>
      </x:c>
      <x:c r="C116" s="4" t="n">
        <x:f>0</x:f>
        <x:v>0</x:v>
      </x:c>
      <x:c r="D116" t="inlineStr">
        <x:is>
          <x:t xml:space="preserve">تومان</x:t>
        </x:is>
      </x:c>
      <x:c r="E116" t="inlineStr">
        <x:is>
          <x:t xml:space="preserve">=0</x:t>
        </x:is>
      </x:c>
      <x:c r="F116" t="inlineStr">
        <x:is>
          <x:t xml:space="preserve"/>
        </x:is>
      </x:c>
    </x:row>
    <x:row r="117" ht="32" customHeight="1">
      <x:c r="A117" t="inlineStr">
        <x:is>
          <x:t xml:space="preserve">۱۰۷</x:t>
        </x:is>
      </x:c>
      <x:c r="B117" t="inlineStr">
        <x:is>
          <x:t xml:space="preserve">وصول ۱ · VAT صورتحساب</x:t>
        </x:is>
      </x:c>
      <x:c r="C117" s="4" t="n">
        <x:f>C115*C31</x:f>
        <x:v>0</x:v>
      </x:c>
      <x:c r="D117" t="inlineStr">
        <x:is>
          <x:t xml:space="preserve">تومان</x:t>
        </x:is>
      </x:c>
      <x:c r="E117" t="inlineStr">
        <x:is>
          <x:t xml:space="preserve">=C115*C31</x:t>
        </x:is>
      </x:c>
      <x:c r="F117" t="inlineStr">
        <x:is>
          <x:t xml:space="preserve"/>
        </x:is>
      </x:c>
    </x:row>
    <x:row r="118" ht="32" customHeight="1">
      <x:c r="A118" t="inlineStr">
        <x:is>
          <x:t xml:space="preserve">۱۰۸</x:t>
        </x:is>
      </x:c>
      <x:c r="B118" t="inlineStr">
        <x:is>
          <x:t xml:space="preserve">وصول ۱ · VAT وصول‌نشده</x:t>
        </x:is>
      </x:c>
      <x:c r="C118" s="4" t="n">
        <x:f>0</x:f>
        <x:v>0</x:v>
      </x:c>
      <x:c r="D118" t="inlineStr">
        <x:is>
          <x:t xml:space="preserve">تومان</x:t>
        </x:is>
      </x:c>
      <x:c r="E118" t="inlineStr">
        <x:is>
          <x:t xml:space="preserve">=0</x:t>
        </x:is>
      </x:c>
      <x:c r="F118" t="inlineStr">
        <x:is>
          <x:t xml:space="preserve"/>
        </x:is>
      </x:c>
    </x:row>
    <x:row r="119" ht="32" customHeight="1">
      <x:c r="A119" t="inlineStr">
        <x:is>
          <x:t xml:space="preserve">۱۰۹</x:t>
        </x:is>
      </x:c>
      <x:c r="B119" t="inlineStr">
        <x:is>
          <x:t xml:space="preserve">وصول ۱ · VAT وصول‌شده</x:t>
        </x:is>
      </x:c>
      <x:c r="C119" s="4" t="n">
        <x:f>C117-C118</x:f>
        <x:v>0</x:v>
      </x:c>
      <x:c r="D119" t="inlineStr">
        <x:is>
          <x:t xml:space="preserve">تومان</x:t>
        </x:is>
      </x:c>
      <x:c r="E119" t="inlineStr">
        <x:is>
          <x:t xml:space="preserve">=C117-C118</x:t>
        </x:is>
      </x:c>
      <x:c r="F119" t="inlineStr">
        <x:is>
          <x:t xml:space="preserve"/>
        </x:is>
      </x:c>
    </x:row>
    <x:row r="120" ht="32" customHeight="1">
      <x:c r="A120" t="inlineStr">
        <x:is>
          <x:t xml:space="preserve">۱۱۰</x:t>
        </x:is>
      </x:c>
      <x:c r="B120" t="inlineStr">
        <x:is>
          <x:t xml:space="preserve">جمع عدم وصول خالص</x:t>
        </x:is>
      </x:c>
      <x:c r="C120" s="4" t="n">
        <x:f>C116</x:f>
        <x:v>0</x:v>
      </x:c>
      <x:c r="D120" t="inlineStr">
        <x:is>
          <x:t xml:space="preserve">تومان</x:t>
        </x:is>
      </x:c>
      <x:c r="E120" t="inlineStr">
        <x:is>
          <x:t xml:space="preserve">=C116</x:t>
        </x:is>
      </x:c>
      <x:c r="F120" t="inlineStr">
        <x:is>
          <x:t xml:space="preserve"/>
        </x:is>
      </x:c>
    </x:row>
    <x:row r="121" ht="32" customHeight="1">
      <x:c r="A121" t="inlineStr">
        <x:is>
          <x:t xml:space="preserve">۱۱۱</x:t>
        </x:is>
      </x:c>
      <x:c r="B121" t="inlineStr">
        <x:is>
          <x:t xml:space="preserve">جمع VAT وصول‌نشده</x:t>
        </x:is>
      </x:c>
      <x:c r="C121" s="4" t="n">
        <x:f>C118</x:f>
        <x:v>0</x:v>
      </x:c>
      <x:c r="D121" t="inlineStr">
        <x:is>
          <x:t xml:space="preserve">تومان</x:t>
        </x:is>
      </x:c>
      <x:c r="E121" t="inlineStr">
        <x:is>
          <x:t xml:space="preserve">=C118</x:t>
        </x:is>
      </x:c>
      <x:c r="F121" t="inlineStr">
        <x:is>
          <x:t xml:space="preserve"/>
        </x:is>
      </x:c>
    </x:row>
    <x:row r="122" ht="32" customHeight="1">
      <x:c r="A122" t="inlineStr">
        <x:is>
          <x:t xml:space="preserve">۱۱۲</x:t>
        </x:is>
      </x:c>
      <x:c r="B122" t="inlineStr">
        <x:is>
          <x:t xml:space="preserve">کل VAT قابل اعتبار</x:t>
        </x:is>
      </x:c>
      <x:c r="C122" s="4" t="n">
        <x:f>C45+C99+C102+C106+C110</x:f>
        <x:v>0</x:v>
      </x:c>
      <x:c r="D122" t="inlineStr">
        <x:is>
          <x:t xml:space="preserve">تومان</x:t>
        </x:is>
      </x:c>
      <x:c r="E122" t="inlineStr">
        <x:is>
          <x:t xml:space="preserve">=C45+C99+C102+C106+C110</x:t>
        </x:is>
      </x:c>
      <x:c r="F122" t="inlineStr">
        <x:is>
          <x:t xml:space="preserve"/>
        </x:is>
      </x:c>
    </x:row>
    <x:row r="123" ht="32" customHeight="1">
      <x:c r="A123" t="inlineStr">
        <x:is>
          <x:t xml:space="preserve">۱۱۳</x:t>
        </x:is>
      </x:c>
      <x:c r="B123" t="inlineStr">
        <x:is>
          <x:t xml:space="preserve">روز VAT واردات</x:t>
        </x:is>
      </x:c>
      <x:c r="C123" s="3">
        <x:v>30</x:v>
      </x:c>
      <x:c r="D123" t="inlineStr">
        <x:is>
          <x:t xml:space="preserve">روز</x:t>
        </x:is>
      </x:c>
      <x:c r="E123" t="inlineStr">
        <x:is>
          <x:t xml:space="preserve"/>
        </x:is>
      </x:c>
      <x:c r="F123" t="inlineStr">
        <x:is>
          <x:t xml:space="preserve"/>
        </x:is>
      </x:c>
    </x:row>
    <x:row r="124" ht="32" customHeight="1">
      <x:c r="A124" t="inlineStr">
        <x:is>
          <x:t xml:space="preserve">۱۱۴</x:t>
        </x:is>
      </x:c>
      <x:c r="B124" t="inlineStr">
        <x:is>
          <x:t xml:space="preserve">اعتبار موجود تا روز تسویه</x:t>
        </x:is>
      </x:c>
      <x:c r="C124" s="4" t="n">
        <x:f>C45+IF(C123&lt;=C22,C99,0)+IF(C100-C16&lt;=C22,C102,0)+IF(C104-C16&lt;=C22,C106,0)+IF(C108-C16&lt;=C22,C110,0)</x:f>
        <x:v>0</x:v>
      </x:c>
      <x:c r="D124" t="inlineStr">
        <x:is>
          <x:t xml:space="preserve">تومان</x:t>
        </x:is>
      </x:c>
      <x:c r="E124" t="inlineStr">
        <x:is>
          <x:t xml:space="preserve">=C45+IF(C123&lt;=C22,C99,0)+IF(C100-C16&lt;=C22,C102,0)+IF(C104-C16&lt;=C22,C106,0)+IF(C108-C16&lt;=C22,C110,0)</x:t>
        </x:is>
      </x:c>
      <x:c r="F124" t="inlineStr">
        <x:is>
          <x:t xml:space="preserve"/>
        </x:is>
      </x:c>
    </x:row>
    <x:row r="125" ht="32" customHeight="1">
      <x:c r="A125" t="inlineStr">
        <x:is>
          <x:t xml:space="preserve">۱۱۵</x:t>
        </x:is>
      </x:c>
      <x:c r="B125" t="inlineStr">
        <x:is>
          <x:t xml:space="preserve">کل VAT فروش</x:t>
        </x:is>
      </x:c>
      <x:c r="C125" s="4" t="n">
        <x:f>C92*C31</x:f>
        <x:v>0</x:v>
      </x:c>
      <x:c r="D125" t="inlineStr">
        <x:is>
          <x:t xml:space="preserve">تومان</x:t>
        </x:is>
      </x:c>
      <x:c r="E125" t="inlineStr">
        <x:is>
          <x:t xml:space="preserve">=C92*C31</x:t>
        </x:is>
      </x:c>
      <x:c r="F125" t="inlineStr">
        <x:is>
          <x:t xml:space="preserve"/>
        </x:is>
      </x:c>
    </x:row>
    <x:row r="126" ht="32" customHeight="1">
      <x:c r="A126" t="inlineStr">
        <x:is>
          <x:t xml:space="preserve">۱۱۶</x:t>
        </x:is>
      </x:c>
      <x:c r="B126" t="inlineStr">
        <x:is>
          <x:t xml:space="preserve">VAT پرداختنی در تسویه</x:t>
        </x:is>
      </x:c>
      <x:c r="C126" s="4" t="n">
        <x:f>MAX(0,C125-C124)</x:f>
        <x:v>0</x:v>
      </x:c>
      <x:c r="D126" t="inlineStr">
        <x:is>
          <x:t xml:space="preserve">تومان</x:t>
        </x:is>
      </x:c>
      <x:c r="E126" t="inlineStr">
        <x:is>
          <x:t xml:space="preserve">=MAX(0,C125-C124)</x:t>
        </x:is>
      </x:c>
      <x:c r="F126" t="inlineStr">
        <x:is>
          <x:t xml:space="preserve"/>
        </x:is>
      </x:c>
    </x:row>
    <x:row r="127" ht="32" customHeight="1">
      <x:c r="A127" t="inlineStr">
        <x:is>
          <x:t xml:space="preserve">۱۱۷</x:t>
        </x:is>
      </x:c>
      <x:c r="B127" t="inlineStr">
        <x:is>
          <x:t xml:space="preserve">اعتبار VAT و مطالبات قابل بازیافت</x:t>
        </x:is>
      </x:c>
      <x:c r="C127" s="4" t="n">
        <x:f>C122-C125+C126</x:f>
        <x:v>0</x:v>
      </x:c>
      <x:c r="D127" t="inlineStr">
        <x:is>
          <x:t xml:space="preserve">تومان</x:t>
        </x:is>
      </x:c>
      <x:c r="E127" t="inlineStr">
        <x:is>
          <x:t xml:space="preserve">=C122-C125+C126</x:t>
        </x:is>
      </x:c>
      <x:c r="F127" t="inlineStr">
        <x:is>
          <x:t xml:space="preserve"/>
        </x:is>
      </x:c>
    </x:row>
    <x:row r="128" ht="32" customHeight="1">
      <x:c r="A128" t="inlineStr">
        <x:is>
          <x:t xml:space="preserve">۱۱۸</x:t>
        </x:is>
      </x:c>
      <x:c r="B128" t="inlineStr">
        <x:is>
          <x:t xml:space="preserve">اعتبار VAT غیرقابل بازیافت</x:t>
        </x:is>
      </x:c>
      <x:c r="C128" s="4" t="n">
        <x:f>0</x:f>
        <x:v>0</x:v>
      </x:c>
      <x:c r="D128" t="inlineStr">
        <x:is>
          <x:t xml:space="preserve">تومان</x:t>
        </x:is>
      </x:c>
      <x:c r="E128" t="inlineStr">
        <x:is>
          <x:t xml:space="preserve">=0</x:t>
        </x:is>
      </x:c>
      <x:c r="F128" t="inlineStr">
        <x:is>
          <x:t xml:space="preserve"/>
        </x:is>
      </x:c>
    </x:row>
    <x:row r="129" ht="32" customHeight="1">
      <x:c r="A129" t="inlineStr">
        <x:is>
          <x:t xml:space="preserve">۱۱۹</x:t>
        </x:is>
      </x:c>
      <x:c r="B129" t="inlineStr">
        <x:is>
          <x:t xml:space="preserve">هزینه اقتصادی ریسک وصول</x:t>
        </x:is>
      </x:c>
      <x:c r="C129" s="4" t="n">
        <x:f>C120+C121</x:f>
        <x:v>0</x:v>
      </x:c>
      <x:c r="D129" t="inlineStr">
        <x:is>
          <x:t xml:space="preserve">تومان</x:t>
        </x:is>
      </x:c>
      <x:c r="E129" t="inlineStr">
        <x:is>
          <x:t xml:space="preserve">=C120+C121</x:t>
        </x:is>
      </x:c>
      <x:c r="F129" t="inlineStr">
        <x:is>
          <x:t xml:space="preserve"/>
        </x:is>
      </x:c>
    </x:row>
    <x:row r="130" ht="30" customHeight="1">
      <x:c r="A130" s="1" t="inlineStr">
        <x:is>
          <x:t xml:space="preserve">F · رویدادهای جریان نقدی؛ مثبت ورود، منفی خروج</x:t>
        </x:is>
      </x:c>
    </x:row>
    <x:row r="131" ht="38" customHeight="1">
      <x:c r="A131" t="inlineStr">
        <x:is>
          <x:t xml:space="preserve">روزها از برنامه قرارداد موتور آمده‌اند. مبلغ هر رویداد به محاسبه بالاتر لینک است. VAT و بلوکه در نقدینگی مؤثرند ولی هزینه اقتصادی مستقیم نیستند. مانده رویدادی ترتیب ثبت را نشان می‌دهد؛ اوج نیاز طبق روش انتخابی محاسبه می‌شود؛ روش محافظه‌کارانه خروج‌های هر روز را قبل از ورودهای آن قرار می‌دهد.</x:t>
        </x:is>
      </x:c>
    </x:row>
    <x:row r="132">
      <x:c r="A132" s="6" t="inlineStr">
        <x:is>
          <x:t xml:space="preserve">روز</x:t>
        </x:is>
      </x:c>
      <x:c r="B132" s="6" t="inlineStr">
        <x:is>
          <x:t xml:space="preserve">رویداد</x:t>
        </x:is>
      </x:c>
      <x:c r="C132" s="6" t="inlineStr">
        <x:is>
          <x:t xml:space="preserve">مبلغ نقدی</x:t>
        </x:is>
      </x:c>
      <x:c r="D132" s="6" t="inlineStr">
        <x:is>
          <x:t xml:space="preserve">ضریب تنزیل</x:t>
        </x:is>
      </x:c>
      <x:c r="E132" s="6" t="inlineStr">
        <x:is>
          <x:t xml:space="preserve">ارزش فعلی</x:t>
        </x:is>
      </x:c>
      <x:c r="F132" s="6" t="inlineStr">
        <x:is>
          <x:t xml:space="preserve">مانده رویدادی</x:t>
        </x:is>
      </x:c>
      <x:c r="G132" s="6" t="inlineStr">
        <x:is>
          <x:t xml:space="preserve">اثر اقتصادی مستقیم</x:t>
        </x:is>
      </x:c>
      <x:c r="H132" s="6" t="inlineStr">
        <x:is>
          <x:t xml:space="preserve">فرمول مبلغ</x:t>
        </x:is>
      </x:c>
      <x:c r="I132" s="6" t="inlineStr">
        <x:is>
          <x:t xml:space="preserve">مبنای رویداد</x:t>
        </x:is>
      </x:c>
      <x:c r="J132" s="6" t="inlineStr">
        <x:is>
          <x:t xml:space="preserve">واحد</x:t>
        </x:is>
      </x:c>
    </x:row>
    <x:row r="133" ht="34" customHeight="1">
      <x:c r="A133">
        <x:v>0</x:v>
      </x:c>
      <x:c r="B133" t="inlineStr">
        <x:is>
          <x:t xml:space="preserve">کارمزد cheque</x:t>
        </x:is>
      </x:c>
      <x:c r="C133" s="4" t="n">
        <x:f>-C67</x:f>
        <x:v>-91479452.05479452</x:v>
      </x:c>
      <x:c r="D133" s="4" t="n">
        <x:f>(1+C33)^(A133/365)</x:f>
        <x:v>1</x:v>
      </x:c>
      <x:c r="E133" s="4" t="n">
        <x:f>C133/D133</x:f>
        <x:v>-91479452.05479452</x:v>
      </x:c>
      <x:c r="F133" s="4" t="n">
        <x:f>C133</x:f>
        <x:v>-91479452.05479452</x:v>
      </x:c>
      <x:c r="G133" s="4" t="n">
        <x:f>C133</x:f>
        <x:v>-91479452.05479452</x:v>
      </x:c>
      <x:c r="H133" t="inlineStr">
        <x:is>
          <x:t xml:space="preserve">=-C67</x:t>
        </x:is>
      </x:c>
      <x:c r="I133" t="inlineStr">
        <x:is>
          <x:t xml:space="preserve">finance_0_fee</x:t>
        </x:is>
      </x:c>
      <x:c r="J133" t="inlineStr">
        <x:is>
          <x:t xml:space="preserve">تومان</x:t>
        </x:is>
      </x:c>
    </x:row>
    <x:row r="134" ht="34" customHeight="1">
      <x:c r="A134">
        <x:v>30</x:v>
      </x:c>
      <x:c r="B134" t="inlineStr">
        <x:is>
          <x:t xml:space="preserve">وصول فروش</x:t>
        </x:is>
      </x:c>
      <x:c r="C134" s="4" t="n">
        <x:f>C115</x:f>
        <x:v>38000000000</x:v>
      </x:c>
      <x:c r="D134" s="4" t="n">
        <x:f>(1+C33)^(A134/365)</x:f>
        <x:v>1.0249728566127598</x:v>
      </x:c>
      <x:c r="E134" s="4" t="n">
        <x:f>C134/D134</x:f>
        <x:v>37074152505.44201</x:v>
      </x:c>
      <x:c r="F134" s="4" t="n">
        <x:f>F133+C134</x:f>
        <x:v>37908520547.945206</x:v>
      </x:c>
      <x:c r="G134" s="4" t="n">
        <x:f>C134</x:f>
        <x:v>38000000000</x:v>
      </x:c>
      <x:c r="H134" t="inlineStr">
        <x:is>
          <x:t xml:space="preserve">=C115</x:t>
        </x:is>
      </x:c>
      <x:c r="I134" t="inlineStr">
        <x:is>
          <x:t xml:space="preserve">receipt_0_base</x:t>
        </x:is>
      </x:c>
      <x:c r="J134" t="inlineStr">
        <x:is>
          <x:t xml:space="preserve">تومان</x:t>
        </x:is>
      </x:c>
    </x:row>
    <x:row r="135" ht="34" customHeight="1">
      <x:c r="A135">
        <x:v>90</x:v>
      </x:c>
      <x:c r="B135" t="inlineStr">
        <x:is>
          <x:t xml:space="preserve">اصل cheque</x:t>
        </x:is>
      </x:c>
      <x:c r="C135" s="4" t="n">
        <x:f>-C58</x:f>
        <x:v>-35000000000</x:v>
      </x:c>
      <x:c r="D135" s="4" t="n">
        <x:f>(1+C33)^(A135/365)</x:f>
        <x:v>1.0768050747018698</x:v>
      </x:c>
      <x:c r="E135" s="4" t="n">
        <x:f>C135/D135</x:f>
        <x:v>-32503561528.710564</x:v>
      </x:c>
      <x:c r="F135" s="4" t="n">
        <x:f>F134+C135</x:f>
        <x:v>2908520547.9452057</x:v>
      </x:c>
      <x:c r="G135" s="4" t="n">
        <x:f>C135</x:f>
        <x:v>-35000000000</x:v>
      </x:c>
      <x:c r="H135" t="inlineStr">
        <x:is>
          <x:t xml:space="preserve">=-C58</x:t>
        </x:is>
      </x:c>
      <x:c r="I135" t="inlineStr">
        <x:is>
          <x:t xml:space="preserve">finance_0_principal</x:t>
        </x:is>
      </x:c>
      <x:c r="J135" t="inlineStr">
        <x:is>
          <x:t xml:space="preserve">تومان</x:t>
        </x:is>
      </x:c>
    </x:row>
    <x:row r="136" ht="34" customHeight="1">
      <x:c r="A136">
        <x:v>90</x:v>
      </x:c>
      <x:c r="B136" t="inlineStr">
        <x:is>
          <x:t xml:space="preserve">اضافه‌قیمت cheque</x:t>
        </x:is>
      </x:c>
      <x:c r="C136" s="4" t="n">
        <x:f>-C64</x:f>
        <x:v>-2100000000</x:v>
      </x:c>
      <x:c r="D136" s="4" t="n">
        <x:f>(1+C33)^(A136/365)</x:f>
        <x:v>1.0768050747018698</x:v>
      </x:c>
      <x:c r="E136" s="4" t="n">
        <x:f>C136/D136</x:f>
        <x:v>-1950213691.7226338</x:v>
      </x:c>
      <x:c r="F136" s="4" t="n">
        <x:f>F135+C136</x:f>
        <x:v>808520547.9452057</x:v>
      </x:c>
      <x:c r="G136" s="4" t="n">
        <x:f>C136</x:f>
        <x:v>-2100000000</x:v>
      </x:c>
      <x:c r="H136" t="inlineStr">
        <x:is>
          <x:t xml:space="preserve">=-C64</x:t>
        </x:is>
      </x:c>
      <x:c r="I136" t="inlineStr">
        <x:is>
          <x:t xml:space="preserve">finance_0_markup</x:t>
        </x:is>
      </x:c>
      <x:c r="J136" t="inlineStr">
        <x:is>
          <x:t xml:space="preserve">تومان</x:t>
        </x:is>
      </x:c>
    </x:row>
    <x:row r="137" ht="30" customHeight="1">
      <x:c r="A137" s="1" t="inlineStr">
        <x:is>
          <x:t xml:space="preserve">F · جریان نقدی روزانه و سرمایه درگیر</x:t>
        </x:is>
      </x:c>
    </x:row>
    <x:row r="138">
      <x:c r="A138" s="6" t="inlineStr">
        <x:is>
          <x:t xml:space="preserve">روز</x:t>
        </x:is>
      </x:c>
      <x:c r="B138" s="6" t="inlineStr">
        <x:is>
          <x:t xml:space="preserve">شرح</x:t>
        </x:is>
      </x:c>
      <x:c r="C138" s="6" t="inlineStr">
        <x:is>
          <x:t xml:space="preserve">خالص روز</x:t>
        </x:is>
      </x:c>
      <x:c r="D138" s="6" t="inlineStr">
        <x:is>
          <x:t xml:space="preserve">ورود</x:t>
        </x:is>
      </x:c>
      <x:c r="E138" s="6" t="inlineStr">
        <x:is>
          <x:t xml:space="preserve">خروج</x:t>
        </x:is>
      </x:c>
      <x:c r="F138" s="6" t="inlineStr">
        <x:is>
          <x:t xml:space="preserve">مانده پایان روز</x:t>
        </x:is>
      </x:c>
      <x:c r="G138" s="6" t="inlineStr">
        <x:is>
          <x:t xml:space="preserve">نیاز تأمین</x:t>
        </x:is>
      </x:c>
      <x:c r="H138" s="6" t="inlineStr">
        <x:is>
          <x:t xml:space="preserve">اولین کسری تا این روز</x:t>
        </x:is>
      </x:c>
      <x:c r="I138" s="6" t="inlineStr">
        <x:is>
          <x:t xml:space="preserve">روز بازیافت نهایی</x:t>
        </x:is>
      </x:c>
      <x:c r="J138" s="6" t="inlineStr">
        <x:is>
          <x:t xml:space="preserve">سرمایه × روز</x:t>
        </x:is>
      </x:c>
    </x:row>
    <x:row r="139">
      <x:c r="A139">
        <x:v>0</x:v>
      </x:c>
      <x:c r="B139" t="inlineStr">
        <x:is>
          <x:t xml:space="preserve">پایان روز ۰</x:t>
        </x:is>
      </x:c>
      <x:c r="C139" s="4" t="n">
        <x:f>SUMIF(A133:A136,A139,C133:C136)</x:f>
        <x:v>-91479452.05479452</x:v>
      </x:c>
      <x:c r="D139" s="4" t="n">
        <x:f>0</x:f>
        <x:v>0</x:v>
      </x:c>
      <x:c r="E139" s="4" t="n">
        <x:f>MIN(0,C133)</x:f>
        <x:v>-91479452.05479452</x:v>
      </x:c>
      <x:c r="F139" s="4" t="n">
        <x:f>IF(ABS(C139)&lt;0.07519147945205479,0,C139)</x:f>
        <x:v>-91479452.05479452</x:v>
      </x:c>
      <x:c r="G139" s="4" t="n">
        <x:f>MAX(0,-0-E139)</x:f>
        <x:v>91479452.05479452</x:v>
      </x:c>
      <x:c r="H139" t="n">
        <x:f>IF(G139&gt;0,A139,"")</x:f>
        <x:v>0</x:v>
      </x:c>
      <x:c r="I139" t="str">
        <x:f>IF(ISNUMBER(H139),IF(F139&gt;=0,IF(MAX(G140:G141)=0,A139,""),"") ,"")</x:f>
      </x:c>
      <x:c r="J139" s="4" t="n">
        <x:f>0</x:f>
        <x:v>0</x:v>
      </x:c>
    </x:row>
    <x:row r="140">
      <x:c r="A140">
        <x:v>30</x:v>
      </x:c>
      <x:c r="B140" t="inlineStr">
        <x:is>
          <x:t xml:space="preserve">پایان روز ۳۰</x:t>
        </x:is>
      </x:c>
      <x:c r="C140" s="4" t="n">
        <x:f>SUMIF(A133:A136,A140,C133:C136)</x:f>
        <x:v>38000000000</x:v>
      </x:c>
      <x:c r="D140" s="4" t="n">
        <x:f>MAX(0,C134)</x:f>
        <x:v>38000000000</x:v>
      </x:c>
      <x:c r="E140" s="4" t="n">
        <x:f>0</x:f>
        <x:v>0</x:v>
      </x:c>
      <x:c r="F140" s="4" t="n">
        <x:f>IF(ABS(F139+C140)&lt;0.07519147945205479,0,F139+C140)</x:f>
        <x:v>37908520547.945206</x:v>
      </x:c>
      <x:c r="G140" s="4" t="n">
        <x:f>MAX(0,-F139-E140)</x:f>
        <x:v>91479452.05479452</x:v>
      </x:c>
      <x:c r="H140" t="n">
        <x:f>IF(ISNUMBER(H139),H139,IF(G140&gt;0,A140,""))</x:f>
        <x:v>0</x:v>
      </x:c>
      <x:c r="I140" t="n">
        <x:f>IF(ISNUMBER(H140),IF(F140&gt;=0,IF(MAX(G141:G141)=0,A140,""),"") ,"")</x:f>
        <x:v>30</x:v>
      </x:c>
      <x:c r="J140" s="4" t="n">
        <x:f>MAX(0,-F139)*(A140-A139)</x:f>
        <x:v>2744383561.6438355</x:v>
      </x:c>
    </x:row>
    <x:row r="141">
      <x:c r="A141">
        <x:v>90</x:v>
      </x:c>
      <x:c r="B141" t="inlineStr">
        <x:is>
          <x:t xml:space="preserve">پایان روز ۹۰</x:t>
        </x:is>
      </x:c>
      <x:c r="C141" s="4" t="n">
        <x:f>SUMIF(A133:A136,A141,C133:C136)</x:f>
        <x:v>-37100000000</x:v>
      </x:c>
      <x:c r="D141" s="4" t="n">
        <x:f>0</x:f>
        <x:v>0</x:v>
      </x:c>
      <x:c r="E141" s="4" t="n">
        <x:f>MIN(0,C135)+MIN(0,C136)</x:f>
        <x:v>-37100000000</x:v>
      </x:c>
      <x:c r="F141" s="4" t="n">
        <x:f>IF(ABS(F140+C141)&lt;0.07519147945205479,0,F140+C141)</x:f>
        <x:v>808520547.9452057</x:v>
      </x:c>
      <x:c r="G141" s="4" t="n">
        <x:f>MAX(0,-F140-E141)</x:f>
        <x:v>0</x:v>
      </x:c>
      <x:c r="H141" t="n">
        <x:f>IF(ISNUMBER(H140),H140,IF(G141&gt;0,A141,""))</x:f>
        <x:v>0</x:v>
      </x:c>
      <x:c r="I141" t="n">
        <x:f>IF(ISNUMBER(H141),IF(F141&gt;=0,A141,"") ,"")</x:f>
        <x:v>90</x:v>
      </x:c>
      <x:c r="J141" s="4" t="n">
        <x:f>MAX(0,-F140)*(A141-A140)</x:f>
        <x:v>0</x:v>
      </x:c>
    </x:row>
    <x:row r="142" ht="30" customHeight="1">
      <x:c r="A142" s="1" t="inlineStr">
        <x:is>
          <x:t xml:space="preserve">G · سود و زیان معامله</x:t>
        </x:is>
      </x:c>
    </x:row>
    <x:row r="143" ht="32" customHeight="1">
      <x:c r="A143" t="inlineStr">
        <x:is>
          <x:t xml:space="preserve">۱۲۰</x:t>
        </x:is>
      </x:c>
      <x:c r="B143" t="inlineStr">
        <x:is>
          <x:t xml:space="preserve">حاشیه اولیه مبلغی</x:t>
        </x:is>
      </x:c>
      <x:c r="C143" s="4" t="n">
        <x:f>C92-C41</x:f>
        <x:v>3000000000</x:v>
      </x:c>
      <x:c r="D143" t="inlineStr">
        <x:is>
          <x:t xml:space="preserve">تومان</x:t>
        </x:is>
      </x:c>
      <x:c r="E143" t="inlineStr">
        <x:is>
          <x:t xml:space="preserve">=C92-C41</x:t>
        </x:is>
      </x:c>
      <x:c r="F143" t="inlineStr">
        <x:is>
          <x:t xml:space="preserve"/>
        </x:is>
      </x:c>
    </x:row>
    <x:row r="144" ht="32" customHeight="1">
      <x:c r="A144" t="inlineStr">
        <x:is>
          <x:t xml:space="preserve">۱۲۱</x:t>
        </x:is>
      </x:c>
      <x:c r="B144" t="inlineStr">
        <x:is>
          <x:t xml:space="preserve">جمع کل هزینه‌ها</x:t>
        </x:is>
      </x:c>
      <x:c r="C144" s="4" t="n">
        <x:f>C41+C112+C72+C129+C128</x:f>
        <x:v>37191479452.054794</x:v>
      </x:c>
      <x:c r="D144" t="inlineStr">
        <x:is>
          <x:t xml:space="preserve">تومان</x:t>
        </x:is>
      </x:c>
      <x:c r="E144" t="inlineStr">
        <x:is>
          <x:t xml:space="preserve">=C41+C112+C72+C129+C128</x:t>
        </x:is>
      </x:c>
      <x:c r="F144" t="inlineStr">
        <x:is>
          <x:t xml:space="preserve"/>
        </x:is>
      </x:c>
    </x:row>
    <x:row r="145" ht="32" customHeight="1">
      <x:c r="A145" t="inlineStr">
        <x:is>
          <x:t xml:space="preserve">۱۲۲</x:t>
        </x:is>
      </x:c>
      <x:c r="B145" t="inlineStr">
        <x:is>
          <x:t xml:space="preserve">سود یا زیان معامله</x:t>
        </x:is>
      </x:c>
      <x:c r="C145" s="4" t="n">
        <x:f>C92-C144</x:f>
        <x:v>808520547.9452057</x:v>
      </x:c>
      <x:c r="D145" t="inlineStr">
        <x:is>
          <x:t xml:space="preserve">تومان</x:t>
        </x:is>
      </x:c>
      <x:c r="E145" t="inlineStr">
        <x:is>
          <x:t xml:space="preserve">=C92-C144</x:t>
        </x:is>
      </x:c>
      <x:c r="F145" t="inlineStr">
        <x:is>
          <x:t xml:space="preserve"/>
        </x:is>
      </x:c>
    </x:row>
    <x:row r="146" ht="32" customHeight="1">
      <x:c r="A146" t="inlineStr">
        <x:is>
          <x:t xml:space="preserve">۱۲۳</x:t>
        </x:is>
      </x:c>
      <x:c r="B146" t="inlineStr">
        <x:is>
          <x:t xml:space="preserve">حاشیه سود</x:t>
        </x:is>
      </x:c>
      <x:c r="C146" s="5" t="n">
        <x:f>IF(C92&gt;0,C145/MAX(C92,1E-100),"قابل تعیین نیست")</x:f>
        <x:v>0.021276856524873836</x:v>
      </x:c>
      <x:c r="D146" t="inlineStr">
        <x:is>
          <x:t xml:space="preserve">نسبت</x:t>
        </x:is>
      </x:c>
      <x:c r="E146" t="inlineStr">
        <x:is>
          <x:t xml:space="preserve">=IF(C92&gt;0,C145/MAX(C92,1E-100),"قابل تعیین نیست")</x:t>
        </x:is>
      </x:c>
      <x:c r="F146" t="inlineStr">
        <x:is>
          <x:t xml:space="preserve"/>
        </x:is>
      </x:c>
    </x:row>
    <x:row r="147" ht="32" customHeight="1">
      <x:c r="A147" t="inlineStr">
        <x:is>
          <x:t xml:space="preserve">۱۲۴</x:t>
        </x:is>
      </x:c>
      <x:c r="B147" t="inlineStr">
        <x:is>
          <x:t xml:space="preserve">جمع جریان نقدی</x:t>
        </x:is>
      </x:c>
      <x:c r="C147" s="4" t="n">
        <x:f>SUM(C133:C136)</x:f>
        <x:v>808520547.9452057</x:v>
      </x:c>
      <x:c r="D147" t="inlineStr">
        <x:is>
          <x:t xml:space="preserve">تومان</x:t>
        </x:is>
      </x:c>
      <x:c r="E147" t="inlineStr">
        <x:is>
          <x:t xml:space="preserve">=SUM(C133:C136)</x:t>
        </x:is>
      </x:c>
      <x:c r="F147" t="inlineStr">
        <x:is>
          <x:t xml:space="preserve"/>
        </x:is>
      </x:c>
    </x:row>
    <x:row r="148" ht="32" customHeight="1">
      <x:c r="A148" t="inlineStr">
        <x:is>
          <x:t xml:space="preserve">۱۲۵</x:t>
        </x:is>
      </x:c>
      <x:c r="B148" t="inlineStr">
        <x:is>
          <x:t xml:space="preserve">جمع اثر اقتصادی با تعدیلات</x:t>
        </x:is>
      </x:c>
      <x:c r="C148" s="4" t="n">
        <x:f>SUM(G133:G136)-C128-C121</x:f>
        <x:v>808520547.9452057</x:v>
      </x:c>
      <x:c r="D148" t="inlineStr">
        <x:is>
          <x:t xml:space="preserve">تومان</x:t>
        </x:is>
      </x:c>
      <x:c r="E148" t="inlineStr">
        <x:is>
          <x:t xml:space="preserve">=SUM(G133:G136)-C128-C121</x:t>
        </x:is>
      </x:c>
      <x:c r="F148" t="inlineStr">
        <x:is>
          <x:t xml:space="preserve"/>
        </x:is>
      </x:c>
    </x:row>
    <x:row r="149" ht="30" customHeight="1">
      <x:c r="A149" s="1" t="inlineStr">
        <x:is>
          <x:t xml:space="preserve">H · شاخص‌های اقتصادی و سرمایه</x:t>
        </x:is>
      </x:c>
    </x:row>
    <x:row r="150" ht="32" customHeight="1">
      <x:c r="A150" t="inlineStr">
        <x:is>
          <x:t xml:space="preserve">۱۲۶</x:t>
        </x:is>
      </x:c>
      <x:c r="B150" t="inlineStr">
        <x:is>
          <x:t xml:space="preserve">حاشیه اولیه نسبت به فروش</x:t>
        </x:is>
      </x:c>
      <x:c r="C150" s="5" t="n">
        <x:f>IF(C92&gt;0,C143/MAX(C92,1E-100),"قابل تعیین نیست")</x:f>
        <x:v>0.07894736842105263</x:v>
      </x:c>
      <x:c r="D150" t="inlineStr">
        <x:is>
          <x:t xml:space="preserve">نسبت</x:t>
        </x:is>
      </x:c>
      <x:c r="E150" t="inlineStr">
        <x:is>
          <x:t xml:space="preserve">=IF(C92&gt;0,C143/MAX(C92,1E-100),"قابل تعیین نیست")</x:t>
        </x:is>
      </x:c>
      <x:c r="F150" t="inlineStr">
        <x:is>
          <x:t xml:space="preserve"/>
        </x:is>
      </x:c>
    </x:row>
    <x:row r="151" ht="32" customHeight="1">
      <x:c r="A151" t="inlineStr">
        <x:is>
          <x:t xml:space="preserve">۱۲۷</x:t>
        </x:is>
      </x:c>
      <x:c r="B151" t="inlineStr">
        <x:is>
          <x:t xml:space="preserve">ارزش فعلی خالص · NPV</x:t>
        </x:is>
      </x:c>
      <x:c r="C151" s="4" t="n">
        <x:f>SUM(E133:E136)</x:f>
        <x:v>2528897832.954017</x:v>
      </x:c>
      <x:c r="D151" t="inlineStr">
        <x:is>
          <x:t xml:space="preserve">تومان</x:t>
        </x:is>
      </x:c>
      <x:c r="E151" t="inlineStr">
        <x:is>
          <x:t xml:space="preserve">=SUM(E133:E136)</x:t>
        </x:is>
      </x:c>
      <x:c r="F151" t="inlineStr">
        <x:is>
          <x:t xml:space="preserve"/>
        </x:is>
      </x:c>
    </x:row>
    <x:row r="152" ht="32" customHeight="1">
      <x:c r="A152" t="inlineStr">
        <x:is>
          <x:t xml:space="preserve">۱۲۸</x:t>
        </x:is>
      </x:c>
      <x:c r="B152" t="inlineStr">
        <x:is>
          <x:t xml:space="preserve">اثر ارزش زمانی پول</x:t>
        </x:is>
      </x:c>
      <x:c r="C152" s="4" t="n">
        <x:f>C151-C145</x:f>
        <x:v>1720377285.0088115</x:v>
      </x:c>
      <x:c r="D152" t="inlineStr">
        <x:is>
          <x:t xml:space="preserve">تومان</x:t>
        </x:is>
      </x:c>
      <x:c r="E152" t="inlineStr">
        <x:is>
          <x:t xml:space="preserve">=C151-C145</x:t>
        </x:is>
      </x:c>
      <x:c r="F152" t="inlineStr">
        <x:is>
          <x:t xml:space="preserve"/>
        </x:is>
      </x:c>
    </x:row>
    <x:row r="153" ht="32" customHeight="1">
      <x:c r="A153" t="inlineStr">
        <x:is>
          <x:t xml:space="preserve">۱۲۹</x:t>
        </x:is>
      </x:c>
      <x:c r="B153" t="inlineStr">
        <x:is>
          <x:t xml:space="preserve">اوج نیاز نقدینگی</x:t>
        </x:is>
      </x:c>
      <x:c r="C153" s="4" t="n">
        <x:f>MAX(G139:G141)</x:f>
        <x:v>91479452.05479452</x:v>
      </x:c>
      <x:c r="D153" t="inlineStr">
        <x:is>
          <x:t xml:space="preserve">تومان</x:t>
        </x:is>
      </x:c>
      <x:c r="E153" t="inlineStr">
        <x:is>
          <x:t xml:space="preserve">=MAX(G139:G141)</x:t>
        </x:is>
      </x:c>
      <x:c r="F153" t="inlineStr">
        <x:is>
          <x:t xml:space="preserve"/>
        </x:is>
      </x:c>
    </x:row>
    <x:row r="154" ht="32" customHeight="1">
      <x:c r="A154" t="inlineStr">
        <x:is>
          <x:t xml:space="preserve">۱۳۰</x:t>
        </x:is>
      </x:c>
      <x:c r="B154" t="inlineStr">
        <x:is>
          <x:t xml:space="preserve">مصرف ظرفیت نقدینگی</x:t>
        </x:is>
      </x:c>
      <x:c r="C154" s="4" t="n">
        <x:f>C153</x:f>
        <x:v>91479452.05479452</x:v>
      </x:c>
      <x:c r="D154" t="inlineStr">
        <x:is>
          <x:t xml:space="preserve">تومان</x:t>
        </x:is>
      </x:c>
      <x:c r="E154" t="inlineStr">
        <x:is>
          <x:t xml:space="preserve">=C153</x:t>
        </x:is>
      </x:c>
      <x:c r="F154" t="inlineStr">
        <x:is>
          <x:t xml:space="preserve"/>
        </x:is>
      </x:c>
    </x:row>
    <x:row r="155" ht="32" customHeight="1">
      <x:c r="A155" t="inlineStr">
        <x:is>
          <x:t xml:space="preserve">۱۳۱</x:t>
        </x:is>
      </x:c>
      <x:c r="B155" t="inlineStr">
        <x:is>
          <x:t xml:space="preserve">سقف نقدینگی</x:t>
        </x:is>
      </x:c>
      <x:c r="C155" s="3">
        <x:v>500000000</x:v>
      </x:c>
      <x:c r="D155" t="inlineStr">
        <x:is>
          <x:t xml:space="preserve">تومان</x:t>
        </x:is>
      </x:c>
      <x:c r="E155" t="inlineStr">
        <x:is>
          <x:t xml:space="preserve"/>
        </x:is>
      </x:c>
      <x:c r="F155" t="inlineStr">
        <x:is>
          <x:t xml:space="preserve"/>
        </x:is>
      </x:c>
    </x:row>
    <x:row r="156" ht="32" customHeight="1">
      <x:c r="A156" t="inlineStr">
        <x:is>
          <x:t xml:space="preserve">۱۳۲</x:t>
        </x:is>
      </x:c>
      <x:c r="B156" t="inlineStr">
        <x:is>
          <x:t xml:space="preserve">نسبت مصرف نقدینگی</x:t>
        </x:is>
      </x:c>
      <x:c r="C156" s="5" t="n">
        <x:f>IF(ISNUMBER(C155),IF(C155&gt;0,C154/MAX(C155,1E-100),"قابل تعیین نیست"),"قابل تعیین نیست")</x:f>
        <x:v>0.18295890410958904</x:v>
      </x:c>
      <x:c r="D156" t="inlineStr">
        <x:is>
          <x:t xml:space="preserve">نسبت</x:t>
        </x:is>
      </x:c>
      <x:c r="E156" t="inlineStr">
        <x:is>
          <x:t xml:space="preserve">=IF(ISNUMBER(C155),IF(C155&gt;0,C154/MAX(C155,1E-100),"قابل تعیین نیست"),"قابل تعیین نیست")</x:t>
        </x:is>
      </x:c>
      <x:c r="F156" t="inlineStr">
        <x:is>
          <x:t xml:space="preserve"/>
        </x:is>
      </x:c>
    </x:row>
    <x:row r="157" ht="32" customHeight="1">
      <x:c r="A157" t="inlineStr">
        <x:is>
          <x:t xml:space="preserve">۱۳۳</x:t>
        </x:is>
      </x:c>
      <x:c r="B157" t="inlineStr">
        <x:is>
          <x:t xml:space="preserve">مصرف ظرفیت چک</x:t>
        </x:is>
      </x:c>
      <x:c r="C157" s="4" t="n">
        <x:f>C69</x:f>
        <x:v>37100000000</x:v>
      </x:c>
      <x:c r="D157" t="inlineStr">
        <x:is>
          <x:t xml:space="preserve">تومان</x:t>
        </x:is>
      </x:c>
      <x:c r="E157" t="inlineStr">
        <x:is>
          <x:t xml:space="preserve">=C69</x:t>
        </x:is>
      </x:c>
      <x:c r="F157" t="inlineStr">
        <x:is>
          <x:t xml:space="preserve"/>
        </x:is>
      </x:c>
    </x:row>
    <x:row r="158" ht="32" customHeight="1">
      <x:c r="A158" t="inlineStr">
        <x:is>
          <x:t xml:space="preserve">۱۳۴</x:t>
        </x:is>
      </x:c>
      <x:c r="B158" t="inlineStr">
        <x:is>
          <x:t xml:space="preserve">سقف چک</x:t>
        </x:is>
      </x:c>
      <x:c r="C158" s="3">
        <x:v>25000000000</x:v>
      </x:c>
      <x:c r="D158" t="inlineStr">
        <x:is>
          <x:t xml:space="preserve">تومان</x:t>
        </x:is>
      </x:c>
      <x:c r="E158" t="inlineStr">
        <x:is>
          <x:t xml:space="preserve"/>
        </x:is>
      </x:c>
      <x:c r="F158" t="inlineStr">
        <x:is>
          <x:t xml:space="preserve"/>
        </x:is>
      </x:c>
    </x:row>
    <x:row r="159" ht="32" customHeight="1">
      <x:c r="A159" t="inlineStr">
        <x:is>
          <x:t xml:space="preserve">۱۳۵</x:t>
        </x:is>
      </x:c>
      <x:c r="B159" t="inlineStr">
        <x:is>
          <x:t xml:space="preserve">نسبت مصرف چک</x:t>
        </x:is>
      </x:c>
      <x:c r="C159" s="5" t="n">
        <x:f>IF(ISNUMBER(C158),IF(C158&gt;0,C157/MAX(C158,1E-100),"قابل تعیین نیست"),"قابل تعیین نیست")</x:f>
        <x:v>1.484</x:v>
      </x:c>
      <x:c r="D159" t="inlineStr">
        <x:is>
          <x:t xml:space="preserve">نسبت</x:t>
        </x:is>
      </x:c>
      <x:c r="E159" t="inlineStr">
        <x:is>
          <x:t xml:space="preserve">=IF(ISNUMBER(C158),IF(C158&gt;0,C157/MAX(C158,1E-100),"قابل تعیین نیست"),"قابل تعیین نیست")</x:t>
        </x:is>
      </x:c>
      <x:c r="F159" t="inlineStr">
        <x:is>
          <x:t xml:space="preserve"/>
        </x:is>
      </x:c>
    </x:row>
    <x:row r="160" ht="32" customHeight="1">
      <x:c r="A160" t="inlineStr">
        <x:is>
          <x:t xml:space="preserve">۱۳۶</x:t>
        </x:is>
      </x:c>
      <x:c r="B160" t="inlineStr">
        <x:is>
          <x:t xml:space="preserve">مصرف ظرفیت LC</x:t>
        </x:is>
      </x:c>
      <x:c r="C160" s="4" t="n">
        <x:f>0</x:f>
        <x:v>0</x:v>
      </x:c>
      <x:c r="D160" t="inlineStr">
        <x:is>
          <x:t xml:space="preserve">تومان</x:t>
        </x:is>
      </x:c>
      <x:c r="E160" t="inlineStr">
        <x:is>
          <x:t xml:space="preserve">=0</x:t>
        </x:is>
      </x:c>
      <x:c r="F160" t="inlineStr">
        <x:is>
          <x:t xml:space="preserve"/>
        </x:is>
      </x:c>
    </x:row>
    <x:row r="161" ht="32" customHeight="1">
      <x:c r="A161" t="inlineStr">
        <x:is>
          <x:t xml:space="preserve">۱۳۷</x:t>
        </x:is>
      </x:c>
      <x:c r="B161" t="inlineStr">
        <x:is>
          <x:t xml:space="preserve">سقف LC</x:t>
        </x:is>
      </x:c>
      <x:c r="C161" s="3" t="inlineStr">
        <x:is>
          <x:t xml:space="preserve">تعریف نشده</x:t>
        </x:is>
      </x:c>
      <x:c r="D161" t="inlineStr">
        <x:is>
          <x:t xml:space="preserve">تومان</x:t>
        </x:is>
      </x:c>
      <x:c r="E161" t="inlineStr">
        <x:is>
          <x:t xml:space="preserve"/>
        </x:is>
      </x:c>
      <x:c r="F161" t="inlineStr">
        <x:is>
          <x:t xml:space="preserve"/>
        </x:is>
      </x:c>
    </x:row>
    <x:row r="162" ht="32" customHeight="1">
      <x:c r="A162" t="inlineStr">
        <x:is>
          <x:t xml:space="preserve">۱۳۸</x:t>
        </x:is>
      </x:c>
      <x:c r="B162" t="inlineStr">
        <x:is>
          <x:t xml:space="preserve">نسبت مصرف LC</x:t>
        </x:is>
      </x:c>
      <x:c r="C162" s="5" t="str">
        <x:f>IF(ISNUMBER(C161),IF(C161&gt;0,C160/MAX(C161,1E-100),"قابل تعیین نیست"),"قابل تعیین نیست")</x:f>
        <x:v>قابل تعیین نیست</x:v>
      </x:c>
      <x:c r="D162" t="inlineStr">
        <x:is>
          <x:t xml:space="preserve">نسبت</x:t>
        </x:is>
      </x:c>
      <x:c r="E162" t="inlineStr">
        <x:is>
          <x:t xml:space="preserve">=IF(ISNUMBER(C161),IF(C161&gt;0,C160/MAX(C161,1E-100),"قابل تعیین نیست"),"قابل تعیین نیست")</x:t>
        </x:is>
      </x:c>
      <x:c r="F162" t="inlineStr">
        <x:is>
          <x:t xml:space="preserve"/>
        </x:is>
      </x:c>
    </x:row>
    <x:row r="163" ht="32" customHeight="1">
      <x:c r="A163" t="inlineStr">
        <x:is>
          <x:t xml:space="preserve">۱۳۹</x:t>
        </x:is>
      </x:c>
      <x:c r="B163" t="inlineStr">
        <x:is>
          <x:t xml:space="preserve">مصرف ظرفیت برات</x:t>
        </x:is>
      </x:c>
      <x:c r="C163" s="4" t="n">
        <x:f>0</x:f>
        <x:v>0</x:v>
      </x:c>
      <x:c r="D163" t="inlineStr">
        <x:is>
          <x:t xml:space="preserve">تومان</x:t>
        </x:is>
      </x:c>
      <x:c r="E163" t="inlineStr">
        <x:is>
          <x:t xml:space="preserve">=0</x:t>
        </x:is>
      </x:c>
      <x:c r="F163" t="inlineStr">
        <x:is>
          <x:t xml:space="preserve"/>
        </x:is>
      </x:c>
    </x:row>
    <x:row r="164" ht="32" customHeight="1">
      <x:c r="A164" t="inlineStr">
        <x:is>
          <x:t xml:space="preserve">۱۴۰</x:t>
        </x:is>
      </x:c>
      <x:c r="B164" t="inlineStr">
        <x:is>
          <x:t xml:space="preserve">سقف برات</x:t>
        </x:is>
      </x:c>
      <x:c r="C164" s="3" t="inlineStr">
        <x:is>
          <x:t xml:space="preserve">تعریف نشده</x:t>
        </x:is>
      </x:c>
      <x:c r="D164" t="inlineStr">
        <x:is>
          <x:t xml:space="preserve">تومان</x:t>
        </x:is>
      </x:c>
      <x:c r="E164" t="inlineStr">
        <x:is>
          <x:t xml:space="preserve"/>
        </x:is>
      </x:c>
      <x:c r="F164" t="inlineStr">
        <x:is>
          <x:t xml:space="preserve"/>
        </x:is>
      </x:c>
    </x:row>
    <x:row r="165" ht="32" customHeight="1">
      <x:c r="A165" t="inlineStr">
        <x:is>
          <x:t xml:space="preserve">۱۴۱</x:t>
        </x:is>
      </x:c>
      <x:c r="B165" t="inlineStr">
        <x:is>
          <x:t xml:space="preserve">نسبت مصرف برات</x:t>
        </x:is>
      </x:c>
      <x:c r="C165" s="5" t="str">
        <x:f>IF(ISNUMBER(C164),IF(C164&gt;0,C163/MAX(C164,1E-100),"قابل تعیین نیست"),"قابل تعیین نیست")</x:f>
        <x:v>قابل تعیین نیست</x:v>
      </x:c>
      <x:c r="D165" t="inlineStr">
        <x:is>
          <x:t xml:space="preserve">نسبت</x:t>
        </x:is>
      </x:c>
      <x:c r="E165" t="inlineStr">
        <x:is>
          <x:t xml:space="preserve">=IF(ISNUMBER(C164),IF(C164&gt;0,C163/MAX(C164,1E-100),"قابل تعیین نیست"),"قابل تعیین نیست")</x:t>
        </x:is>
      </x:c>
      <x:c r="F165" t="inlineStr">
        <x:is>
          <x:t xml:space="preserve"/>
        </x:is>
      </x:c>
    </x:row>
    <x:row r="166" ht="32" customHeight="1">
      <x:c r="A166" t="inlineStr">
        <x:is>
          <x:t xml:space="preserve">۱۴۲</x:t>
        </x:is>
      </x:c>
      <x:c r="B166" t="inlineStr">
        <x:is>
          <x:t xml:space="preserve">روز اوج نیاز نقدینگی</x:t>
        </x:is>
      </x:c>
      <x:c r="C166" s="4" t="n">
        <x:f>IF(C153=0,C16,INDEX(A139:A141,MATCH(C153,G139:G141,0)))</x:f>
        <x:v>0</x:v>
      </x:c>
      <x:c r="D166" t="inlineStr">
        <x:is>
          <x:t xml:space="preserve">روز</x:t>
        </x:is>
      </x:c>
      <x:c r="E166" t="inlineStr">
        <x:is>
          <x:t xml:space="preserve">=IF(C153=0,C16,INDEX(A139:A141,MATCH(C153,G139:G141,0)))</x:t>
        </x:is>
      </x:c>
      <x:c r="F166" t="inlineStr">
        <x:is>
          <x:t xml:space="preserve"/>
        </x:is>
      </x:c>
    </x:row>
    <x:row r="167" ht="32" customHeight="1">
      <x:c r="A167" t="inlineStr">
        <x:is>
          <x:t xml:space="preserve">۱۴۳</x:t>
        </x:is>
      </x:c>
      <x:c r="B167" t="inlineStr">
        <x:is>
          <x:t xml:space="preserve">روز بازگشت کامل سرمایه</x:t>
        </x:is>
      </x:c>
      <x:c r="C167" s="4" t="n">
        <x:f>IF(COUNT(I139:I141)=0,"قابل تعیین نیست",MIN(I139:I141))</x:f>
        <x:v>30</x:v>
      </x:c>
      <x:c r="D167" t="inlineStr">
        <x:is>
          <x:t xml:space="preserve">روز</x:t>
        </x:is>
      </x:c>
      <x:c r="E167" t="inlineStr">
        <x:is>
          <x:t xml:space="preserve">=IF(COUNT(I139:I141)=0,"قابل تعیین نیست",MIN(I139:I141))</x:t>
        </x:is>
      </x:c>
      <x:c r="F167" t="inlineStr">
        <x:is>
          <x:t xml:space="preserve"/>
        </x:is>
      </x:c>
    </x:row>
    <x:row r="168" ht="32" customHeight="1">
      <x:c r="A168" t="inlineStr">
        <x:is>
          <x:t xml:space="preserve">۱۴۴</x:t>
        </x:is>
      </x:c>
      <x:c r="B168" t="inlineStr">
        <x:is>
          <x:t xml:space="preserve">مدت درگیری سرمایه</x:t>
        </x:is>
      </x:c>
      <x:c r="C168" s="4" t="n">
        <x:f>IF(ISNUMBER(H141),IF(COUNT(I139:I141)=0,A141,MIN(I139:I141))-H141,0)</x:f>
        <x:v>30</x:v>
      </x:c>
      <x:c r="D168" t="inlineStr">
        <x:is>
          <x:t xml:space="preserve">روز</x:t>
        </x:is>
      </x:c>
      <x:c r="E168" t="inlineStr">
        <x:is>
          <x:t xml:space="preserve">=IF(ISNUMBER(H141),IF(COUNT(I139:I141)=0,A141,MIN(I139:I141))-H141,0)</x:t>
        </x:is>
      </x:c>
      <x:c r="F168" t="inlineStr">
        <x:is>
          <x:t xml:space="preserve"/>
        </x:is>
      </x:c>
    </x:row>
    <x:row r="169" ht="32" customHeight="1">
      <x:c r="A169" t="inlineStr">
        <x:is>
          <x:t xml:space="preserve">۱۴۵</x:t>
        </x:is>
      </x:c>
      <x:c r="B169" t="inlineStr">
        <x:is>
          <x:t xml:space="preserve">افق کامل جریان نقدی</x:t>
        </x:is>
      </x:c>
      <x:c r="C169" s="4" t="n">
        <x:f>A141-C16</x:f>
        <x:v>90</x:v>
      </x:c>
      <x:c r="D169" t="inlineStr">
        <x:is>
          <x:t xml:space="preserve">روز</x:t>
        </x:is>
      </x:c>
      <x:c r="E169" t="inlineStr">
        <x:is>
          <x:t xml:space="preserve">=A141-C16</x:t>
        </x:is>
      </x:c>
      <x:c r="F169" t="inlineStr">
        <x:is>
          <x:t xml:space="preserve"/>
        </x:is>
      </x:c>
    </x:row>
    <x:row r="170" ht="32" customHeight="1">
      <x:c r="A170" t="inlineStr">
        <x:is>
          <x:t xml:space="preserve">۱۴۶</x:t>
        </x:is>
      </x:c>
      <x:c r="B170" t="inlineStr">
        <x:is>
          <x:t xml:space="preserve">سرمایه × روز</x:t>
        </x:is>
      </x:c>
      <x:c r="C170" s="4" t="n">
        <x:f>SUM(J139:J141)</x:f>
        <x:v>2744383561.6438355</x:v>
      </x:c>
      <x:c r="D170" t="inlineStr">
        <x:is>
          <x:t xml:space="preserve">تومان × روز</x:t>
        </x:is>
      </x:c>
      <x:c r="E170" t="inlineStr">
        <x:is>
          <x:t xml:space="preserve">=SUM(J139:J141)</x:t>
        </x:is>
      </x:c>
      <x:c r="F170" t="inlineStr">
        <x:is>
          <x:t xml:space="preserve"/>
        </x:is>
      </x:c>
    </x:row>
    <x:row r="171" ht="32" customHeight="1">
      <x:c r="A171" t="inlineStr">
        <x:is>
          <x:t xml:space="preserve">۱۴۷</x:t>
        </x:is>
      </x:c>
      <x:c r="B171" t="inlineStr">
        <x:is>
          <x:t xml:space="preserve">میانگین سرمایه درگیر</x:t>
        </x:is>
      </x:c>
      <x:c r="C171" s="4" t="n">
        <x:f>IF(C169&gt;0,C170/MAX(C169,1E-100),"قابل تعیین نیست")</x:f>
        <x:v>30493150.684931505</x:v>
      </x:c>
      <x:c r="D171" t="inlineStr">
        <x:is>
          <x:t xml:space="preserve">تومان</x:t>
        </x:is>
      </x:c>
      <x:c r="E171" t="inlineStr">
        <x:is>
          <x:t xml:space="preserve">=IF(C169&gt;0,C170/MAX(C169,1E-100),"قابل تعیین نیست")</x:t>
        </x:is>
      </x:c>
      <x:c r="F171" t="inlineStr">
        <x:is>
          <x:t xml:space="preserve"/>
        </x:is>
      </x:c>
    </x:row>
    <x:row r="172" ht="32" customHeight="1">
      <x:c r="A172" t="inlineStr">
        <x:is>
          <x:t xml:space="preserve">۱۴۸</x:t>
        </x:is>
      </x:c>
      <x:c r="B172" t="inlineStr">
        <x:is>
          <x:t xml:space="preserve">بازده بر میانگین سرمایه درگیر</x:t>
        </x:is>
      </x:c>
      <x:c r="C172" s="5" t="n">
        <x:f>IF(ISNUMBER(C171),IF(C171&gt;0,C145/MAX(C171,1E-100),"قابل تعیین نیست"),"قابل تعیین نیست")</x:f>
        <x:v>26.514824797843673</x:v>
      </x:c>
      <x:c r="D172" t="inlineStr">
        <x:is>
          <x:t xml:space="preserve">نسبت</x:t>
        </x:is>
      </x:c>
      <x:c r="E172" t="inlineStr">
        <x:is>
          <x:t xml:space="preserve">=IF(ISNUMBER(C171),IF(C171&gt;0,C145/MAX(C171,1E-100),"قابل تعیین نیست"),"قابل تعیین نیست")</x:t>
        </x:is>
      </x:c>
      <x:c r="F172" t="inlineStr">
        <x:is>
          <x:t xml:space="preserve"/>
        </x:is>
      </x:c>
    </x:row>
    <x:row r="173" ht="32" customHeight="1">
      <x:c r="A173" t="inlineStr">
        <x:is>
          <x:t xml:space="preserve">۱۴۹</x:t>
        </x:is>
      </x:c>
      <x:c r="B173" t="inlineStr">
        <x:is>
          <x:t xml:space="preserve">بازده بر اوج سرمایه درگیر</x:t>
        </x:is>
      </x:c>
      <x:c r="C173" s="5" t="n">
        <x:f>IF(COUNT(I139:I141)=0,"قابل تعیین نیست",IF(C153&gt;7.5191479452054795,C145/MAX(C153,1E-100),"قابل تعیین نیست"))</x:f>
        <x:v>8.838274932614558</x:v>
      </x:c>
      <x:c r="D173" t="inlineStr">
        <x:is>
          <x:t xml:space="preserve">نسبت</x:t>
        </x:is>
      </x:c>
      <x:c r="E173" t="inlineStr">
        <x:is>
          <x:t xml:space="preserve">=IF(COUNT(I139:I141)=0,"قابل تعیین نیست",IF(C153&gt;7.5191479452054795,C145/MAX(C153,1E-100),"قابل تعیین نیست"))</x:t>
        </x:is>
      </x:c>
      <x:c r="F173" t="inlineStr">
        <x:is>
          <x:t xml:space="preserve"/>
        </x:is>
      </x:c>
    </x:row>
    <x:row r="174" ht="32" customHeight="1">
      <x:c r="A174" t="inlineStr">
        <x:is>
          <x:t xml:space="preserve">۱۵۰</x:t>
        </x:is>
      </x:c>
      <x:c r="B174" t="inlineStr">
        <x:is>
          <x:t xml:space="preserve">معادل ماهانه</x:t>
        </x:is>
      </x:c>
      <x:c r="C174" s="5" t="n">
        <x:f>IF(ISNUMBER(C173),IF(C168&gt;0,IFERROR((1+C173)^(30/C168)-1,"قابل تعیین نیست"),"قابل تعیین نیست"),"قابل تعیین نیست")</x:f>
        <x:v>8.838274932614558</x:v>
      </x:c>
      <x:c r="D174" t="inlineStr">
        <x:is>
          <x:t xml:space="preserve">نسبت</x:t>
        </x:is>
      </x:c>
      <x:c r="E174" t="inlineStr">
        <x:is>
          <x:t xml:space="preserve">=IF(ISNUMBER(C173),IF(C168&gt;0,IFERROR((1+C173)^(30/C168)-1,"قابل تعیین نیست"),"قابل تعیین نیست"),"قابل تعیین نیست")</x:t>
        </x:is>
      </x:c>
      <x:c r="F174" t="inlineStr">
        <x:is>
          <x:t xml:space="preserve"/>
        </x:is>
      </x:c>
    </x:row>
    <x:row r="175" ht="32" customHeight="1">
      <x:c r="A175" t="inlineStr">
        <x:is>
          <x:t xml:space="preserve">۱۵۱</x:t>
        </x:is>
      </x:c>
      <x:c r="B175" t="inlineStr">
        <x:is>
          <x:t xml:space="preserve">معادل سالانه</x:t>
        </x:is>
      </x:c>
      <x:c r="C175" s="5" t="n">
        <x:f>IF(ISNUMBER(C173),IF(C168&gt;0,IFERROR((1+C173)^(365/C168)-1,"قابل تعیین نیست"),"قابل تعیین نیست"),"قابل تعیین نیست")</x:f>
        <x:v>1203688054489.6934</x:v>
      </x:c>
      <x:c r="D175" t="inlineStr">
        <x:is>
          <x:t xml:space="preserve">نسبت</x:t>
        </x:is>
      </x:c>
      <x:c r="E175" t="inlineStr">
        <x:is>
          <x:t xml:space="preserve">=IF(ISNUMBER(C173),IF(C168&gt;0,IFERROR((1+C173)^(365/C168)-1,"قابل تعیین نیست"),"قابل تعیین نیست"),"قابل تعیین نیست")</x:t>
        </x:is>
      </x:c>
      <x:c r="F175" t="inlineStr">
        <x:is>
          <x:t xml:space="preserve"/>
        </x:is>
      </x:c>
    </x:row>
    <x:row r="176" ht="32" customHeight="1">
      <x:c r="A176" t="inlineStr">
        <x:is>
          <x:t xml:space="preserve">۱۵۲</x:t>
        </x:is>
      </x:c>
      <x:c r="B176" t="inlineStr">
        <x:is>
          <x:t xml:space="preserve">حداقل بازده مورد انتظار دوره</x:t>
        </x:is>
      </x:c>
      <x:c r="C176" s="5" t="n">
        <x:f>IF(C168&gt;0,(1+C33)^(C168/365)-1,"قابل تعیین نیست")</x:f>
        <x:v>0.02497285661275983</x:v>
      </x:c>
      <x:c r="D176" t="inlineStr">
        <x:is>
          <x:t xml:space="preserve">نسبت</x:t>
        </x:is>
      </x:c>
      <x:c r="E176" t="inlineStr">
        <x:is>
          <x:t xml:space="preserve">=IF(C168&gt;0,(1+C33)^(C168/365)-1,"قابل تعیین نیست")</x:t>
        </x:is>
      </x:c>
      <x:c r="F176" t="inlineStr">
        <x:is>
          <x:t xml:space="preserve"/>
        </x:is>
      </x:c>
    </x:row>
    <x:row r="177" ht="30" customHeight="1">
      <x:c r="A177" s="1" t="inlineStr">
        <x:is>
          <x:t xml:space="preserve">I · کنترل تصمیم؛ اقتصاد و قابلیت اجرا مستقل</x:t>
        </x:is>
      </x:c>
    </x:row>
    <x:row r="178" ht="32" customHeight="1">
      <x:c r="A178" t="inlineStr">
        <x:is>
          <x:t xml:space="preserve">۱۵۳</x:t>
        </x:is>
      </x:c>
      <x:c r="B178" t="inlineStr">
        <x:is>
          <x:t xml:space="preserve">جذابیت اقتصادی</x:t>
        </x:is>
      </x:c>
      <x:c r="C178" s="4" t="str">
        <x:f>IF(C151&gt;0,"مناسب",IF(C151&lt;0,"نامناسب","مرزی"))</x:f>
        <x:v>مناسب</x:v>
      </x:c>
      <x:c r="D178" t="inlineStr">
        <x:is>
          <x:t xml:space="preserve"/>
        </x:is>
      </x:c>
      <x:c r="E178" t="inlineStr">
        <x:is>
          <x:t xml:space="preserve">=IF(C151&gt;0,"مناسب",IF(C151&lt;0,"نامناسب","مرزی"))</x:t>
        </x:is>
      </x:c>
      <x:c r="F178" t="inlineStr">
        <x:is>
          <x:t xml:space="preserve"/>
        </x:is>
      </x:c>
    </x:row>
    <x:row r="179" ht="32" customHeight="1">
      <x:c r="A179" t="inlineStr">
        <x:is>
          <x:t xml:space="preserve">۱۵۴</x:t>
        </x:is>
      </x:c>
      <x:c r="B179" t="inlineStr">
        <x:is>
          <x:t xml:space="preserve">کسری ظرفیت cash</x:t>
        </x:is>
      </x:c>
      <x:c r="C179" s="4" t="n">
        <x:f>IF(ISNUMBER(C155),MAX(0,C154-C155),0)</x:f>
        <x:v>0</x:v>
      </x:c>
      <x:c r="D179" t="inlineStr">
        <x:is>
          <x:t xml:space="preserve">تومان</x:t>
        </x:is>
      </x:c>
      <x:c r="E179" t="inlineStr">
        <x:is>
          <x:t xml:space="preserve">=IF(ISNUMBER(C155),MAX(0,C154-C155),0)</x:t>
        </x:is>
      </x:c>
      <x:c r="F179" t="inlineStr">
        <x:is>
          <x:t xml:space="preserve"/>
        </x:is>
      </x:c>
    </x:row>
    <x:row r="180" ht="32" customHeight="1">
      <x:c r="A180" t="inlineStr">
        <x:is>
          <x:t xml:space="preserve">۱۵۵</x:t>
        </x:is>
      </x:c>
      <x:c r="B180" t="inlineStr">
        <x:is>
          <x:t xml:space="preserve">کسری ظرفیت cheque</x:t>
        </x:is>
      </x:c>
      <x:c r="C180" s="4" t="n">
        <x:f>IF(ISNUMBER(C158),MAX(0,C157-C158),0)</x:f>
        <x:v>12100000000</x:v>
      </x:c>
      <x:c r="D180" t="inlineStr">
        <x:is>
          <x:t xml:space="preserve">تومان</x:t>
        </x:is>
      </x:c>
      <x:c r="E180" t="inlineStr">
        <x:is>
          <x:t xml:space="preserve">=IF(ISNUMBER(C158),MAX(0,C157-C158),0)</x:t>
        </x:is>
      </x:c>
      <x:c r="F180" t="inlineStr">
        <x:is>
          <x:t xml:space="preserve"/>
        </x:is>
      </x:c>
    </x:row>
    <x:row r="181" ht="32" customHeight="1">
      <x:c r="A181" t="inlineStr">
        <x:is>
          <x:t xml:space="preserve">۱۵۶</x:t>
        </x:is>
      </x:c>
      <x:c r="B181" t="inlineStr">
        <x:is>
          <x:t xml:space="preserve">کسری ظرفیت lc</x:t>
        </x:is>
      </x:c>
      <x:c r="C181" s="4" t="n">
        <x:f>IF(ISNUMBER(C161),MAX(0,C160-C161),0)</x:f>
        <x:v>0</x:v>
      </x:c>
      <x:c r="D181" t="inlineStr">
        <x:is>
          <x:t xml:space="preserve">تومان</x:t>
        </x:is>
      </x:c>
      <x:c r="E181" t="inlineStr">
        <x:is>
          <x:t xml:space="preserve">=IF(ISNUMBER(C161),MAX(0,C160-C161),0)</x:t>
        </x:is>
      </x:c>
      <x:c r="F181" t="inlineStr">
        <x:is>
          <x:t xml:space="preserve"/>
        </x:is>
      </x:c>
    </x:row>
    <x:row r="182" ht="32" customHeight="1">
      <x:c r="A182" t="inlineStr">
        <x:is>
          <x:t xml:space="preserve">۱۵۷</x:t>
        </x:is>
      </x:c>
      <x:c r="B182" t="inlineStr">
        <x:is>
          <x:t xml:space="preserve">کسری ظرفیت boe</x:t>
        </x:is>
      </x:c>
      <x:c r="C182" s="4" t="n">
        <x:f>IF(ISNUMBER(C164),MAX(0,C163-C164),0)</x:f>
        <x:v>0</x:v>
      </x:c>
      <x:c r="D182" t="inlineStr">
        <x:is>
          <x:t xml:space="preserve">تومان</x:t>
        </x:is>
      </x:c>
      <x:c r="E182" t="inlineStr">
        <x:is>
          <x:t xml:space="preserve">=IF(ISNUMBER(C164),MAX(0,C163-C164),0)</x:t>
        </x:is>
      </x:c>
      <x:c r="F182" t="inlineStr">
        <x:is>
          <x:t xml:space="preserve"/>
        </x:is>
      </x:c>
    </x:row>
    <x:row r="183" ht="32" customHeight="1">
      <x:c r="A183" t="inlineStr">
        <x:is>
          <x:t xml:space="preserve">۱۵۸</x:t>
        </x:is>
      </x:c>
      <x:c r="B183" t="inlineStr">
        <x:is>
          <x:t xml:space="preserve">جمع کسری منابع</x:t>
        </x:is>
      </x:c>
      <x:c r="C183" s="4" t="n">
        <x:f>C179+C180+C181+C182</x:f>
        <x:v>12100000000</x:v>
      </x:c>
      <x:c r="D183" t="inlineStr">
        <x:is>
          <x:t xml:space="preserve">تومان</x:t>
        </x:is>
      </x:c>
      <x:c r="E183" t="inlineStr">
        <x:is>
          <x:t xml:space="preserve">=C179+C180+C181+C182</x:t>
        </x:is>
      </x:c>
      <x:c r="F183" t="inlineStr">
        <x:is>
          <x:t xml:space="preserve"/>
        </x:is>
      </x:c>
    </x:row>
    <x:row r="184" ht="32" customHeight="1">
      <x:c r="A184" t="inlineStr">
        <x:is>
          <x:t xml:space="preserve">۱۵۹</x:t>
        </x:is>
      </x:c>
      <x:c r="B184" t="inlineStr">
        <x:is>
          <x:t xml:space="preserve">اقدام اول</x:t>
        </x:is>
      </x:c>
      <x:c r="C184" s="4" t="str">
        <x:f>IF(C151&lt;0,"عدم انجام معامله",IF(C183&gt;0,"ابتدا اصلاح تأمین مالی","بررسی حاشیه امن قیمت و شرایط وصول"))</x:f>
        <x:v>ابتدا اصلاح تأمین مالی</x:v>
      </x:c>
      <x:c r="D184" t="inlineStr">
        <x:is>
          <x:t xml:space="preserve"/>
        </x:is>
      </x:c>
      <x:c r="E184" t="inlineStr">
        <x:is>
          <x:t xml:space="preserve">=IF(C151&lt;0,"عدم انجام معامله",IF(C183&gt;0,"ابتدا اصلاح تأمین مالی","بررسی حاشیه امن قیمت و شرایط وصول"))</x:t>
        </x:is>
      </x:c>
      <x:c r="F184" t="inlineStr">
        <x:is>
          <x:t xml:space="preserve"/>
        </x:is>
      </x:c>
    </x:row>
    <x:row r="185" ht="32" customHeight="1">
      <x:c r="A185" t="inlineStr">
        <x:is>
          <x:t xml:space="preserve">۱۶۰</x:t>
        </x:is>
      </x:c>
      <x:c r="B185" t="inlineStr">
        <x:is>
          <x:t xml:space="preserve">کنترل جمع نقدی − سود</x:t>
        </x:is>
      </x:c>
      <x:c r="C185" s="4" t="n">
        <x:f>IF(ABS(C147-C145)&lt;=7.5191479452054795,0,C147-C145)</x:f>
        <x:v>0</x:v>
      </x:c>
      <x:c r="D185" t="inlineStr">
        <x:is>
          <x:t xml:space="preserve">تومان</x:t>
        </x:is>
      </x:c>
      <x:c r="E185" t="inlineStr">
        <x:is>
          <x:t xml:space="preserve">=IF(ABS(C147-C145)&lt;=7.5191479452054795,0,C147-C145)</x:t>
        </x:is>
      </x:c>
      <x:c r="F185" t="inlineStr">
        <x:is>
          <x:t xml:space="preserve"/>
        </x:is>
      </x:c>
    </x:row>
    <x:row r="186" ht="32" customHeight="1">
      <x:c r="A186" t="inlineStr">
        <x:is>
          <x:t xml:space="preserve">۱۶۱</x:t>
        </x:is>
      </x:c>
      <x:c r="B186" t="inlineStr">
        <x:is>
          <x:t xml:space="preserve">کنترل اجزای اقتصادی − سود</x:t>
        </x:is>
      </x:c>
      <x:c r="C186" s="4" t="n">
        <x:f>IF(ABS(C148-C145)&lt;=7.5191479452054795,0,C148-C145)</x:f>
        <x:v>0</x:v>
      </x:c>
      <x:c r="D186" t="inlineStr">
        <x:is>
          <x:t xml:space="preserve">تومان</x:t>
        </x:is>
      </x:c>
      <x:c r="E186" t="inlineStr">
        <x:is>
          <x:t xml:space="preserve">=IF(ABS(C148-C145)&lt;=7.5191479452054795,0,C148-C145)</x:t>
        </x:is>
      </x:c>
      <x:c r="F186" t="inlineStr">
        <x:is>
          <x:t xml:space="preserve"/>
        </x:is>
      </x:c>
    </x:row>
    <x:row r="187" ht="32" customHeight="1">
      <x:c r="A187" t="inlineStr">
        <x:is>
          <x:t xml:space="preserve">۱۶۲</x:t>
        </x:is>
      </x:c>
      <x:c r="B187" t="inlineStr">
        <x:is>
          <x:t xml:space="preserve">کنترل سود + زمان − NPV</x:t>
        </x:is>
      </x:c>
      <x:c r="C187" s="4" t="n">
        <x:f>IF(ABS(C145+C152-C151)&lt;=7.5191479452054795,0,C145+C152-C151)</x:f>
        <x:v>0</x:v>
      </x:c>
      <x:c r="D187" t="inlineStr">
        <x:is>
          <x:t xml:space="preserve">تومان</x:t>
        </x:is>
      </x:c>
      <x:c r="E187" t="inlineStr">
        <x:is>
          <x:t xml:space="preserve">=IF(ABS(C145+C152-C151)&lt;=7.5191479452054795,0,C145+C152-C151)</x:t>
        </x:is>
      </x:c>
      <x:c r="F187" t="inlineStr">
        <x:is>
          <x:t xml:space="preserve"/>
        </x:is>
      </x:c>
    </x:row>
    <x:row r="188">
      <x:c r="A188" s="6" t="inlineStr">
        <x:is>
          <x:t xml:space="preserve">شاخص</x:t>
        </x:is>
      </x:c>
      <x:c r="B188" s="6" t="inlineStr">
        <x:is>
          <x:t xml:space="preserve">خروجی موتور</x:t>
        </x:is>
      </x:c>
      <x:c r="C188" s="6" t="inlineStr">
        <x:is>
          <x:t xml:space="preserve">محاسبه اکسل</x:t>
        </x:is>
      </x:c>
      <x:c r="D188" s="6" t="inlineStr">
        <x:is>
          <x:t xml:space="preserve">اختلاف</x:t>
        </x:is>
      </x:c>
      <x:c r="E188" s="6" t="inlineStr">
        <x:is>
          <x:t xml:space="preserve">تلورانس</x:t>
        </x:is>
      </x:c>
      <x:c r="F188" s="6" t="inlineStr">
        <x:is>
          <x:t xml:space="preserve">نتیجه</x:t>
        </x:is>
      </x:c>
    </x:row>
    <x:row r="189">
      <x:c r="A189" t="inlineStr">
        <x:is>
          <x:t xml:space="preserve">سود یا زیان معامله</x:t>
        </x:is>
      </x:c>
      <x:c r="B189" s="3">
        <x:v>808520547.9452057</x:v>
      </x:c>
      <x:c r="C189" s="4" t="n">
        <x:f>C145</x:f>
        <x:v>808520547.9452057</x:v>
      </x:c>
      <x:c r="D189" s="4" t="n">
        <x:f>IF(ABS(C189-B189)&lt;=7.5191479452054795,0,C189-B189)</x:f>
        <x:v>0</x:v>
      </x:c>
      <x:c r="E189">
        <x:v>7.5191479452054795</x:v>
      </x:c>
      <x:c r="F189" t="str">
        <x:f>IF(ABS(D189)&lt;=E189,"تطبیق","بررسی")</x:f>
        <x:v>تطبیق</x:v>
      </x:c>
    </x:row>
    <x:row r="190">
      <x:c r="A190" t="inlineStr">
        <x:is>
          <x:t xml:space="preserve">ارزش فعلی خالص · NPV</x:t>
        </x:is>
      </x:c>
      <x:c r="B190" s="3">
        <x:v>2528897832.954017</x:v>
      </x:c>
      <x:c r="C190" s="4" t="n">
        <x:f>C151</x:f>
        <x:v>2528897832.954017</x:v>
      </x:c>
      <x:c r="D190" s="4" t="n">
        <x:f>IF(ABS(C190-B190)&lt;=7.5191479452054795,0,C190-B190)</x:f>
        <x:v>0</x:v>
      </x:c>
      <x:c r="E190">
        <x:v>7.5191479452054795</x:v>
      </x:c>
      <x:c r="F190" t="str">
        <x:f>IF(ABS(D190)&lt;=E190,"تطبیق","بررسی")</x:f>
        <x:v>تطبیق</x:v>
      </x:c>
    </x:row>
    <x:row r="191">
      <x:c r="A191" t="inlineStr">
        <x:is>
          <x:t xml:space="preserve">اوج نیاز نقدینگی</x:t>
        </x:is>
      </x:c>
      <x:c r="B191" s="3">
        <x:v>91479452.05479452</x:v>
      </x:c>
      <x:c r="C191" s="4" t="n">
        <x:f>C153</x:f>
        <x:v>91479452.05479452</x:v>
      </x:c>
      <x:c r="D191" s="4" t="n">
        <x:f>IF(ABS(C191-B191)&lt;=7.5191479452054795,0,C191-B191)</x:f>
        <x:v>0</x:v>
      </x:c>
      <x:c r="E191">
        <x:v>7.5191479452054795</x:v>
      </x:c>
      <x:c r="F191" t="str">
        <x:f>IF(ABS(D191)&lt;=E191,"تطبیق","بررسی")</x:f>
        <x:v>تطبیق</x:v>
      </x:c>
    </x:row>
    <x:row r="192">
      <x:c r="A192" t="inlineStr">
        <x:is>
          <x:t xml:space="preserve">کل هزینه مالی خرید و فروش</x:t>
        </x:is>
      </x:c>
      <x:c r="B192" s="3">
        <x:v>2191479452.0547943</x:v>
      </x:c>
      <x:c r="C192" s="4" t="n">
        <x:f>C72</x:f>
        <x:v>2191479452.0547943</x:v>
      </x:c>
      <x:c r="D192" s="4" t="n">
        <x:f>IF(ABS(C192-B192)&lt;=7.5191479452054795,0,C192-B192)</x:f>
        <x:v>0</x:v>
      </x:c>
      <x:c r="E192">
        <x:v>7.5191479452054795</x:v>
      </x:c>
      <x:c r="F192" t="str">
        <x:f>IF(ABS(D192)&lt;=E192,"تطبیق","بررسی")</x:f>
        <x:v>تطبیق</x:v>
      </x:c>
    </x:row>
    <x:row r="193">
      <x:c r="A193" t="inlineStr">
        <x:is>
          <x:t xml:space="preserve">جمع هزینه عملیاتی</x:t>
        </x:is>
      </x:c>
      <x:c r="B193" s="3">
        <x:v>0</x:v>
      </x:c>
      <x:c r="C193" s="4" t="n">
        <x:f>C112</x:f>
        <x:v>0</x:v>
      </x:c>
      <x:c r="D193" s="4" t="n">
        <x:f>IF(ABS(C193-B193)&lt;=7.5191479452054795,0,C193-B193)</x:f>
        <x:v>0</x:v>
      </x:c>
      <x:c r="E193">
        <x:v>7.5191479452054795</x:v>
      </x:c>
      <x:c r="F193" t="str">
        <x:f>IF(ABS(D193)&lt;=E193,"تطبیق","بررسی")</x:f>
        <x:v>تطبیق</x:v>
      </x:c>
    </x:row>
    <x:row r="194">
      <x:c r="A194" t="inlineStr">
        <x:is>
          <x:t xml:space="preserve">کل درآمد فروش و کارمزد دریافتی</x:t>
        </x:is>
      </x:c>
      <x:c r="B194" s="3">
        <x:v>38000000000</x:v>
      </x:c>
      <x:c r="C194" s="4" t="n">
        <x:f>C92</x:f>
        <x:v>38000000000</x:v>
      </x:c>
      <x:c r="D194" s="4" t="n">
        <x:f>IF(ABS(C194-B194)&lt;=7.5191479452054795,0,C194-B194)</x:f>
        <x:v>0</x:v>
      </x:c>
      <x:c r="E194">
        <x:v>7.5191479452054795</x:v>
      </x:c>
      <x:c r="F194" t="str">
        <x:f>IF(ABS(D194)&lt;=E194,"تطبیق","بررسی")</x:f>
        <x:v>تطبیق</x:v>
      </x:c>
    </x:row>
    <x:row r="195">
      <x:c r="A195" t="inlineStr">
        <x:is>
          <x:t xml:space="preserve">کل VAT قابل اعتبار</x:t>
        </x:is>
      </x:c>
      <x:c r="B195" s="3">
        <x:v>0</x:v>
      </x:c>
      <x:c r="C195" s="4" t="n">
        <x:f>C122</x:f>
        <x:v>0</x:v>
      </x:c>
      <x:c r="D195" s="4" t="n">
        <x:f>IF(ABS(C195-B195)&lt;=7.5191479452054795,0,C195-B195)</x:f>
        <x:v>0</x:v>
      </x:c>
      <x:c r="E195">
        <x:v>7.5191479452054795</x:v>
      </x:c>
      <x:c r="F195" t="str">
        <x:f>IF(ABS(D195)&lt;=E195,"تطبیق","بررسی")</x:f>
        <x:v>تطبیق</x:v>
      </x:c>
    </x:row>
    <x:row r="196">
      <x:c r="A196" t="inlineStr">
        <x:is>
          <x:t xml:space="preserve">کل VAT فروش</x:t>
        </x:is>
      </x:c>
      <x:c r="B196" s="3">
        <x:v>0</x:v>
      </x:c>
      <x:c r="C196" s="4" t="n">
        <x:f>C125</x:f>
        <x:v>0</x:v>
      </x:c>
      <x:c r="D196" s="4" t="n">
        <x:f>IF(ABS(C196-B196)&lt;=7.5191479452054795,0,C196-B196)</x:f>
        <x:v>0</x:v>
      </x:c>
      <x:c r="E196">
        <x:v>7.5191479452054795</x:v>
      </x:c>
      <x:c r="F196" t="str">
        <x:f>IF(ABS(D196)&lt;=E196,"تطبیق","بررسی")</x:f>
        <x:v>تطبیق</x:v>
      </x:c>
    </x:row>
    <x:row r="197">
      <x:c r="A197" t="inlineStr">
        <x:is>
          <x:t xml:space="preserve">کنترل جمع نقدی − سود</x:t>
        </x:is>
      </x:c>
      <x:c r="B197" s="3">
        <x:v>0</x:v>
      </x:c>
      <x:c r="C197" s="4" t="n">
        <x:f>C185</x:f>
        <x:v>0</x:v>
      </x:c>
      <x:c r="D197" s="4" t="n">
        <x:f>IF(ABS(C197-B197)&lt;=7.5191479452054795,0,C197-B197)</x:f>
        <x:v>0</x:v>
      </x:c>
      <x:c r="E197">
        <x:v>7.5191479452054795</x:v>
      </x:c>
      <x:c r="F197" t="str">
        <x:f>IF(ABS(D197)&lt;=E197,"تطبیق","بررسی")</x:f>
        <x:v>تطبیق</x:v>
      </x:c>
    </x:row>
    <x:row r="198">
      <x:c r="A198" t="inlineStr">
        <x:is>
          <x:t xml:space="preserve">کنترل اجزای اقتصادی − سود</x:t>
        </x:is>
      </x:c>
      <x:c r="B198" s="3">
        <x:v>0</x:v>
      </x:c>
      <x:c r="C198" s="4" t="n">
        <x:f>C186</x:f>
        <x:v>0</x:v>
      </x:c>
      <x:c r="D198" s="4" t="n">
        <x:f>IF(ABS(C198-B198)&lt;=7.5191479452054795,0,C198-B198)</x:f>
        <x:v>0</x:v>
      </x:c>
      <x:c r="E198">
        <x:v>7.5191479452054795</x:v>
      </x:c>
      <x:c r="F198" t="str">
        <x:f>IF(ABS(D198)&lt;=E198,"تطبیق","بررسی")</x:f>
        <x:v>تطبیق</x:v>
      </x:c>
    </x:row>
    <x:row r="199">
      <x:c r="A199" t="inlineStr">
        <x:is>
          <x:t xml:space="preserve">کنترل سود + زمان − NPV</x:t>
        </x:is>
      </x:c>
      <x:c r="B199" s="3">
        <x:v>0</x:v>
      </x:c>
      <x:c r="C199" s="4" t="n">
        <x:f>C187</x:f>
        <x:v>0</x:v>
      </x:c>
      <x:c r="D199" s="4" t="n">
        <x:f>IF(ABS(C199-B199)&lt;=7.5191479452054795,0,C199-B199)</x:f>
        <x:v>0</x:v>
      </x:c>
      <x:c r="E199">
        <x:v>7.5191479452054795</x:v>
      </x:c>
      <x:c r="F199" t="str">
        <x:f>IF(ABS(D199)&lt;=E199,"تطبیق","بررسی")</x:f>
        <x:v>تطبیق</x:v>
      </x:c>
    </x:row>
  </x:sheetData>
  <x:mergeCells>
    <x:mergeCell ref="A1:J1"/>
    <x:mergeCell ref="A2:J2"/>
    <x:mergeCell ref="A3:J3"/>
    <x:mergeCell ref="A4:J4"/>
    <x:mergeCell ref="A5:J5"/>
    <x:mergeCell ref="F6:J6"/>
    <x:mergeCell ref="F7:J7"/>
    <x:mergeCell ref="F8:J8"/>
    <x:mergeCell ref="F9:J9"/>
    <x:mergeCell ref="F10:J10"/>
    <x:mergeCell ref="F11:J11"/>
    <x:mergeCell ref="F12:J12"/>
    <x:mergeCell ref="F13:J13"/>
    <x:mergeCell ref="F14:J14"/>
    <x:mergeCell ref="F15:J15"/>
    <x:mergeCell ref="F16:J16"/>
    <x:mergeCell ref="F17:J17"/>
    <x:mergeCell ref="F18:J18"/>
    <x:mergeCell ref="F19:J19"/>
    <x:mergeCell ref="F20:J20"/>
    <x:mergeCell ref="F21:J21"/>
    <x:mergeCell ref="F22:J22"/>
    <x:mergeCell ref="F23:J23"/>
    <x:mergeCell ref="F24:J24"/>
    <x:mergeCell ref="F25:J25"/>
    <x:mergeCell ref="F26:J26"/>
    <x:mergeCell ref="F27:J27"/>
    <x:mergeCell ref="F28:J28"/>
    <x:mergeCell ref="F29:J29"/>
    <x:mergeCell ref="F30:J30"/>
    <x:mergeCell ref="F31:J31"/>
    <x:mergeCell ref="F32:J32"/>
    <x:mergeCell ref="F33:J33"/>
    <x:mergeCell ref="F34:J34"/>
    <x:mergeCell ref="F35:J35"/>
    <x:mergeCell ref="F36:J36"/>
    <x:mergeCell ref="F37:J37"/>
    <x:mergeCell ref="F38:J38"/>
    <x:mergeCell ref="F39:J39"/>
    <x:mergeCell ref="F40:J40"/>
    <x:mergeCell ref="F41:J41"/>
    <x:mergeCell ref="F42:J42"/>
    <x:mergeCell ref="F43:J43"/>
    <x:mergeCell ref="F44:J44"/>
    <x:mergeCell ref="F45:J45"/>
    <x:mergeCell ref="F46:J46"/>
    <x:mergeCell ref="F47:J47"/>
    <x:mergeCell ref="F48:J48"/>
    <x:mergeCell ref="F49:J49"/>
    <x:mergeCell ref="A50:J50"/>
    <x:mergeCell ref="F51:J51"/>
    <x:mergeCell ref="F52:J52"/>
    <x:mergeCell ref="F53:J53"/>
    <x:mergeCell ref="F54:J54"/>
    <x:mergeCell ref="F55:J55"/>
    <x:mergeCell ref="F56:J56"/>
    <x:mergeCell ref="F57:J57"/>
    <x:mergeCell ref="F58:J58"/>
    <x:mergeCell ref="F59:J59"/>
    <x:mergeCell ref="F60:J60"/>
    <x:mergeCell ref="F61:J61"/>
    <x:mergeCell ref="F62:J62"/>
    <x:mergeCell ref="F63:J63"/>
    <x:mergeCell ref="F64:J64"/>
    <x:mergeCell ref="F65:J65"/>
    <x:mergeCell ref="F66:J66"/>
    <x:mergeCell ref="F67:J67"/>
    <x:mergeCell ref="F68:J68"/>
    <x:mergeCell ref="F69:J69"/>
    <x:mergeCell ref="F70:J70"/>
    <x:mergeCell ref="F71:J71"/>
    <x:mergeCell ref="F72:J72"/>
    <x:mergeCell ref="A73:J73"/>
    <x:mergeCell ref="A74:J74"/>
    <x:mergeCell ref="F75:J75"/>
    <x:mergeCell ref="F76:J76"/>
    <x:mergeCell ref="F77:J77"/>
    <x:mergeCell ref="F78:J78"/>
    <x:mergeCell ref="F79:J79"/>
    <x:mergeCell ref="F80:J80"/>
    <x:mergeCell ref="F81:J81"/>
    <x:mergeCell ref="F82:J82"/>
    <x:mergeCell ref="F83:J83"/>
    <x:mergeCell ref="F84:J84"/>
    <x:mergeCell ref="F85:J85"/>
    <x:mergeCell ref="F86:J86"/>
    <x:mergeCell ref="F87:J87"/>
    <x:mergeCell ref="F88:J88"/>
    <x:mergeCell ref="F89:J89"/>
    <x:mergeCell ref="F90:J90"/>
    <x:mergeCell ref="F91:J91"/>
    <x:mergeCell ref="F92:J92"/>
    <x:mergeCell ref="A93:J93"/>
    <x:mergeCell ref="F94:J94"/>
    <x:mergeCell ref="F95:J95"/>
    <x:mergeCell ref="F96:J96"/>
    <x:mergeCell ref="F97:J97"/>
    <x:mergeCell ref="F98:J98"/>
    <x:mergeCell ref="F99:J99"/>
    <x:mergeCell ref="F100:J100"/>
    <x:mergeCell ref="F101:J101"/>
    <x:mergeCell ref="F102:J102"/>
    <x:mergeCell ref="F103:J103"/>
    <x:mergeCell ref="F104:J104"/>
    <x:mergeCell ref="F105:J105"/>
    <x:mergeCell ref="F106:J106"/>
    <x:mergeCell ref="F107:J107"/>
    <x:mergeCell ref="F108:J108"/>
    <x:mergeCell ref="F109:J109"/>
    <x:mergeCell ref="F110:J110"/>
    <x:mergeCell ref="F111:J111"/>
    <x:mergeCell ref="F112:J112"/>
    <x:mergeCell ref="A113:J113"/>
    <x:mergeCell ref="F114:J114"/>
    <x:mergeCell ref="F115:J115"/>
    <x:mergeCell ref="F116:J116"/>
    <x:mergeCell ref="F117:J117"/>
    <x:mergeCell ref="F118:J118"/>
    <x:mergeCell ref="F119:J119"/>
    <x:mergeCell ref="F120:J120"/>
    <x:mergeCell ref="F121:J121"/>
    <x:mergeCell ref="F122:J122"/>
    <x:mergeCell ref="F123:J123"/>
    <x:mergeCell ref="F124:J124"/>
    <x:mergeCell ref="F125:J125"/>
    <x:mergeCell ref="F126:J126"/>
    <x:mergeCell ref="F127:J127"/>
    <x:mergeCell ref="F128:J128"/>
    <x:mergeCell ref="F129:J129"/>
    <x:mergeCell ref="A130:J130"/>
    <x:mergeCell ref="A131:J131"/>
    <x:mergeCell ref="A137:J137"/>
    <x:mergeCell ref="A142:J142"/>
    <x:mergeCell ref="F143:J143"/>
    <x:mergeCell ref="F144:J144"/>
    <x:mergeCell ref="F145:J145"/>
    <x:mergeCell ref="F146:J146"/>
    <x:mergeCell ref="F147:J147"/>
    <x:mergeCell ref="F148:J148"/>
    <x:mergeCell ref="A149:J149"/>
    <x:mergeCell ref="F150:J150"/>
    <x:mergeCell ref="F151:J151"/>
    <x:mergeCell ref="F152:J152"/>
    <x:mergeCell ref="F153:J153"/>
    <x:mergeCell ref="F154:J154"/>
    <x:mergeCell ref="F155:J155"/>
    <x:mergeCell ref="F156:J156"/>
    <x:mergeCell ref="F157:J157"/>
    <x:mergeCell ref="F158:J158"/>
    <x:mergeCell ref="F159:J159"/>
    <x:mergeCell ref="F160:J160"/>
    <x:mergeCell ref="F161:J161"/>
    <x:mergeCell ref="F162:J162"/>
    <x:mergeCell ref="F163:J163"/>
    <x:mergeCell ref="F164:J164"/>
    <x:mergeCell ref="F165:J165"/>
    <x:mergeCell ref="F166:J166"/>
    <x:mergeCell ref="F167:J167"/>
    <x:mergeCell ref="F168:J168"/>
    <x:mergeCell ref="F169:J169"/>
    <x:mergeCell ref="F170:J170"/>
    <x:mergeCell ref="F171:J171"/>
    <x:mergeCell ref="F172:J172"/>
    <x:mergeCell ref="F173:J173"/>
    <x:mergeCell ref="F174:J174"/>
    <x:mergeCell ref="F175:J175"/>
    <x:mergeCell ref="F176:J176"/>
    <x:mergeCell ref="A177:J177"/>
    <x:mergeCell ref="F178:J178"/>
    <x:mergeCell ref="F179:J179"/>
    <x:mergeCell ref="F180:J180"/>
    <x:mergeCell ref="F181:J181"/>
    <x:mergeCell ref="F182:J182"/>
    <x:mergeCell ref="F183:J183"/>
    <x:mergeCell ref="F184:J184"/>
    <x:mergeCell ref="F185:J185"/>
    <x:mergeCell ref="F186:J186"/>
    <x:mergeCell ref="F187:J187"/>
  </x:mergeCells>
  <x:pageMargins left="0.7" right="0.7" top="0.75" bottom="0.75" header="0.3" footer="0.3"/>
</x:worksheet>
</file>